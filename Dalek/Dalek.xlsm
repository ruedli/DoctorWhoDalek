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3.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D:\workspace\DoctorWhoDalek\Dalek\"/>
    </mc:Choice>
  </mc:AlternateContent>
  <xr:revisionPtr revIDLastSave="0" documentId="13_ncr:1_{16D3AA0F-EF62-4EB7-AC6A-D01A97092629}" xr6:coauthVersionLast="47" xr6:coauthVersionMax="47" xr10:uidLastSave="{00000000-0000-0000-0000-000000000000}"/>
  <bookViews>
    <workbookView xWindow="21540" yWindow="3285" windowWidth="33510" windowHeight="17595" xr2:uid="{00000000-000D-0000-FFFF-FFFF00000000}"/>
  </bookViews>
  <sheets>
    <sheet name="Leds" sheetId="1" r:id="rId1"/>
    <sheet name="Head" sheetId="14" r:id="rId2"/>
    <sheet name="Servo" sheetId="13" r:id="rId3"/>
    <sheet name="MQTT communication" sheetId="11" r:id="rId4"/>
    <sheet name="Font1" sheetId="6" r:id="rId5"/>
    <sheet name="Font2" sheetId="9" r:id="rId6"/>
    <sheet name="commands" sheetId="8" r:id="rId7"/>
  </sheets>
  <functionGroups builtInGroupCount="19"/>
  <definedNames>
    <definedName name="ActivateSleep">Head!$N$33:$N$36</definedName>
    <definedName name="autoHEAD">Head!$N$29</definedName>
    <definedName name="autoRING">Head!$N$30</definedName>
    <definedName name="Blinktime" localSheetId="2">Servo!$C$4</definedName>
    <definedName name="Blinktime">#REF!</definedName>
    <definedName name="BlinkTiming">Head!$C$11</definedName>
    <definedName name="cb2Fill">Head!$N$28</definedName>
    <definedName name="cb2Rotate">Head!$N$27</definedName>
    <definedName name="CharDOWN">Font1!$C$47</definedName>
    <definedName name="CharLR">Font1!$C$3</definedName>
    <definedName name="CharOK">Font1!$B$2</definedName>
    <definedName name="CharRL">Font1!$B$3</definedName>
    <definedName name="CharSTATIC">Font1!$B$3</definedName>
    <definedName name="CharUP">Font1!$B$47</definedName>
    <definedName name="comport" localSheetId="3">'MQTT communication'!$B$4</definedName>
    <definedName name="HeadPattern">Head!$G$8</definedName>
    <definedName name="Intensity">Head!$C$17</definedName>
    <definedName name="InvertedRange">Servo!$B$24:$C$25</definedName>
    <definedName name="LedPattern">Leds!$B$10</definedName>
    <definedName name="Leye">Head!$N$23</definedName>
    <definedName name="LeyeCol">Head!$O$23</definedName>
    <definedName name="LeyePat">Head!$Q$23</definedName>
    <definedName name="LHresRange">Servo!$B$27:$C$30</definedName>
    <definedName name="MovementRange">Servo!$B$10:$C$16</definedName>
    <definedName name="MQTThost">'MQTT communication'!$B$1</definedName>
    <definedName name="MQTTpass">'MQTT communication'!$B$3</definedName>
    <definedName name="MQTTport">'MQTT communication'!$B$4</definedName>
    <definedName name="MQTTtopic">'MQTT communication'!$B$5</definedName>
    <definedName name="MQTTuser">'MQTT communication'!$B$2</definedName>
    <definedName name="Nose">Head!$N$24</definedName>
    <definedName name="NoseCol">Head!$O$24</definedName>
    <definedName name="NosePat">Head!$Q$24</definedName>
    <definedName name="PinballInvert">Servo!$E$23</definedName>
    <definedName name="PinballLHres">Servo!$E$26</definedName>
    <definedName name="PinballMovement">Servo!$E$9</definedName>
    <definedName name="PinballShape">Servo!$E$17</definedName>
    <definedName name="PutChar">Font1!$D$1</definedName>
    <definedName name="Reye">Head!$N$25</definedName>
    <definedName name="ReyeCol">Head!$O$25</definedName>
    <definedName name="ReyePat">Head!$Q$25</definedName>
    <definedName name="RingPattern">Head!$I$8</definedName>
    <definedName name="Ringtime">Head!$C$9</definedName>
    <definedName name="RPM">Servo!$C$3</definedName>
    <definedName name="SelectBlinkStrobe">Head!$M$17:$O$22</definedName>
    <definedName name="SelectColors">Head!$M$2:$N$8</definedName>
    <definedName name="SelectPattern">Head!$M$10:$N$15</definedName>
    <definedName name="ServoInverted">Servo!$B$24:$B$25</definedName>
    <definedName name="ServoLowres">Servo!$B$27:$B$30</definedName>
    <definedName name="ServoMovement">Servo!$B$10:$B$16</definedName>
    <definedName name="ServoShape">Servo!$B$18:$B$22</definedName>
    <definedName name="ShapeRange">Servo!$B$18:$C$22</definedName>
    <definedName name="TextDOWN">Leds!$B$44</definedName>
    <definedName name="TEXTLR">Leds!$B$42</definedName>
    <definedName name="TextRL">Leds!$B$41</definedName>
    <definedName name="TextSTATIC">Leds!$B$40</definedName>
    <definedName name="TextUP">Leds!$B$43</definedName>
    <definedName name="What">Head!$N$32</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25" i="14" l="1"/>
  <c r="P24" i="14"/>
  <c r="P23" i="14"/>
  <c r="S25" i="14"/>
  <c r="R25" i="14"/>
  <c r="S24" i="14"/>
  <c r="R24" i="14"/>
  <c r="S23" i="14"/>
  <c r="R23" i="14"/>
  <c r="D1" i="9"/>
  <c r="E1" i="9"/>
  <c r="E2" i="9" s="1"/>
  <c r="E3" i="9" s="1"/>
  <c r="E4" i="9" s="1"/>
  <c r="E5" i="9" s="1"/>
  <c r="E7" i="9"/>
  <c r="E8" i="9" s="1"/>
  <c r="E9" i="9" s="1"/>
  <c r="E10" i="9" s="1"/>
  <c r="E11" i="9" s="1"/>
  <c r="E13" i="9"/>
  <c r="E14" i="9" s="1"/>
  <c r="E15" i="9"/>
  <c r="E16" i="9" s="1"/>
  <c r="E17" i="9" s="1"/>
  <c r="E19" i="9"/>
  <c r="E20" i="9"/>
  <c r="E21" i="9"/>
  <c r="E22" i="9" s="1"/>
  <c r="E23" i="9" s="1"/>
  <c r="E25" i="9"/>
  <c r="E26" i="9" s="1"/>
  <c r="E27" i="9"/>
  <c r="E28" i="9" s="1"/>
  <c r="E29" i="9" s="1"/>
  <c r="E31" i="9"/>
  <c r="E32" i="9"/>
  <c r="E33" i="9" s="1"/>
  <c r="E34" i="9" s="1"/>
  <c r="E35" i="9" s="1"/>
  <c r="E37" i="9"/>
  <c r="E38" i="9" s="1"/>
  <c r="E39" i="9" s="1"/>
  <c r="E40" i="9" s="1"/>
  <c r="E41" i="9" s="1"/>
  <c r="E43" i="9"/>
  <c r="E44" i="9"/>
  <c r="E45" i="9"/>
  <c r="E46" i="9" s="1"/>
  <c r="E47" i="9" s="1"/>
  <c r="E49" i="9"/>
  <c r="E50" i="9"/>
  <c r="E51" i="9" s="1"/>
  <c r="E52" i="9" s="1"/>
  <c r="E53" i="9" s="1"/>
  <c r="E55" i="9"/>
  <c r="E56" i="9"/>
  <c r="E57" i="9" s="1"/>
  <c r="E58" i="9" s="1"/>
  <c r="E59" i="9" s="1"/>
  <c r="E61" i="9"/>
  <c r="E62" i="9" s="1"/>
  <c r="E63" i="9" s="1"/>
  <c r="E64" i="9" s="1"/>
  <c r="E65" i="9" s="1"/>
  <c r="E67" i="9"/>
  <c r="E68" i="9" s="1"/>
  <c r="E69" i="9" s="1"/>
  <c r="E70" i="9"/>
  <c r="E71" i="9" s="1"/>
  <c r="E73" i="9"/>
  <c r="E74" i="9" s="1"/>
  <c r="E75" i="9" s="1"/>
  <c r="E76" i="9" s="1"/>
  <c r="E77" i="9" s="1"/>
  <c r="E79" i="9"/>
  <c r="E80" i="9"/>
  <c r="E81" i="9"/>
  <c r="E82" i="9" s="1"/>
  <c r="E83" i="9" s="1"/>
  <c r="E85" i="9"/>
  <c r="E86" i="9" s="1"/>
  <c r="E87" i="9" s="1"/>
  <c r="E88" i="9" s="1"/>
  <c r="E89" i="9" s="1"/>
  <c r="E91" i="9"/>
  <c r="E92" i="9" s="1"/>
  <c r="E93" i="9" s="1"/>
  <c r="E94" i="9" s="1"/>
  <c r="E95" i="9" s="1"/>
  <c r="E97" i="9"/>
  <c r="E98" i="9" s="1"/>
  <c r="E99" i="9" s="1"/>
  <c r="E100" i="9" s="1"/>
  <c r="E101" i="9"/>
  <c r="E103" i="9"/>
  <c r="E104" i="9"/>
  <c r="E105" i="9" s="1"/>
  <c r="E106" i="9" s="1"/>
  <c r="E107" i="9" s="1"/>
  <c r="E109" i="9"/>
  <c r="E110" i="9" s="1"/>
  <c r="E111" i="9" s="1"/>
  <c r="E112" i="9" s="1"/>
  <c r="E113" i="9" s="1"/>
  <c r="E115" i="9"/>
  <c r="E116" i="9"/>
  <c r="E117" i="9" s="1"/>
  <c r="E118" i="9"/>
  <c r="E119" i="9"/>
  <c r="E121" i="9"/>
  <c r="E122" i="9" s="1"/>
  <c r="E123" i="9" s="1"/>
  <c r="E124" i="9" s="1"/>
  <c r="E125" i="9" s="1"/>
  <c r="E127" i="9"/>
  <c r="E128" i="9"/>
  <c r="E129" i="9" s="1"/>
  <c r="E130" i="9"/>
  <c r="E131" i="9" s="1"/>
  <c r="E133" i="9"/>
  <c r="E134" i="9"/>
  <c r="E135" i="9"/>
  <c r="E136" i="9"/>
  <c r="E137" i="9"/>
  <c r="E139" i="9"/>
  <c r="E140" i="9" s="1"/>
  <c r="E141" i="9" s="1"/>
  <c r="E142" i="9" s="1"/>
  <c r="E143" i="9" s="1"/>
  <c r="E145" i="9"/>
  <c r="E146" i="9" s="1"/>
  <c r="E147" i="9"/>
  <c r="E148" i="9" s="1"/>
  <c r="E149" i="9" s="1"/>
  <c r="E151" i="9"/>
  <c r="E152" i="9"/>
  <c r="E153" i="9" s="1"/>
  <c r="E154" i="9" s="1"/>
  <c r="E155" i="9" s="1"/>
  <c r="E157" i="9"/>
  <c r="E158" i="9" s="1"/>
  <c r="E159" i="9"/>
  <c r="E160" i="9" s="1"/>
  <c r="E161" i="9"/>
  <c r="E163" i="9"/>
  <c r="E164" i="9"/>
  <c r="E165" i="9" s="1"/>
  <c r="E166" i="9" s="1"/>
  <c r="E167" i="9" s="1"/>
  <c r="E169" i="9"/>
  <c r="E170" i="9" s="1"/>
  <c r="E171" i="9" s="1"/>
  <c r="E172" i="9" s="1"/>
  <c r="E173" i="9"/>
  <c r="E175" i="9"/>
  <c r="E176" i="9"/>
  <c r="E177" i="9"/>
  <c r="E178" i="9"/>
  <c r="E179" i="9"/>
  <c r="E181" i="9"/>
  <c r="E182" i="9"/>
  <c r="E183" i="9" s="1"/>
  <c r="E184" i="9" s="1"/>
  <c r="E185" i="9" s="1"/>
  <c r="E187" i="9"/>
  <c r="E188" i="9"/>
  <c r="E189" i="9" s="1"/>
  <c r="E190" i="9" s="1"/>
  <c r="E191" i="9" s="1"/>
  <c r="E193" i="9"/>
  <c r="E194" i="9"/>
  <c r="E195" i="9" s="1"/>
  <c r="E196" i="9" s="1"/>
  <c r="E197" i="9" s="1"/>
  <c r="E199" i="9"/>
  <c r="E200" i="9"/>
  <c r="E201" i="9" s="1"/>
  <c r="E202" i="9"/>
  <c r="E203" i="9" s="1"/>
  <c r="E205" i="9"/>
  <c r="E206" i="9" s="1"/>
  <c r="E207" i="9" s="1"/>
  <c r="E208" i="9" s="1"/>
  <c r="E209" i="9" s="1"/>
  <c r="E211" i="9"/>
  <c r="E212" i="9" s="1"/>
  <c r="E213" i="9" s="1"/>
  <c r="E214" i="9" s="1"/>
  <c r="E215" i="9" s="1"/>
  <c r="E217" i="9"/>
  <c r="E218" i="9" s="1"/>
  <c r="E219" i="9" s="1"/>
  <c r="E220" i="9" s="1"/>
  <c r="E221" i="9" s="1"/>
  <c r="E223" i="9"/>
  <c r="E224" i="9"/>
  <c r="E225" i="9"/>
  <c r="E226" i="9" s="1"/>
  <c r="E227" i="9" s="1"/>
  <c r="E229" i="9"/>
  <c r="E230" i="9" s="1"/>
  <c r="E231" i="9"/>
  <c r="E232" i="9" s="1"/>
  <c r="E233" i="9" s="1"/>
  <c r="E235" i="9"/>
  <c r="E236" i="9"/>
  <c r="E237" i="9"/>
  <c r="E238" i="9" s="1"/>
  <c r="E239" i="9" s="1"/>
  <c r="E241" i="9"/>
  <c r="E242" i="9" s="1"/>
  <c r="E243" i="9" s="1"/>
  <c r="E244" i="9" s="1"/>
  <c r="E245" i="9"/>
  <c r="E247" i="9"/>
  <c r="E248" i="9"/>
  <c r="E249" i="9" s="1"/>
  <c r="E250" i="9" s="1"/>
  <c r="E251" i="9" s="1"/>
  <c r="E253" i="9"/>
  <c r="E254" i="9"/>
  <c r="E255" i="9" s="1"/>
  <c r="E256" i="9" s="1"/>
  <c r="E257" i="9" s="1"/>
  <c r="E259" i="9"/>
  <c r="E260" i="9"/>
  <c r="E261" i="9" s="1"/>
  <c r="E262" i="9"/>
  <c r="E263" i="9"/>
  <c r="E265" i="9"/>
  <c r="E266" i="9"/>
  <c r="E267" i="9"/>
  <c r="E268" i="9" s="1"/>
  <c r="E269" i="9" s="1"/>
  <c r="E271" i="9"/>
  <c r="E272" i="9"/>
  <c r="E273" i="9" s="1"/>
  <c r="E274" i="9" s="1"/>
  <c r="E275" i="9" s="1"/>
  <c r="E277" i="9"/>
  <c r="E278" i="9"/>
  <c r="E279" i="9" s="1"/>
  <c r="E280" i="9" s="1"/>
  <c r="E281" i="9" s="1"/>
  <c r="E283" i="9"/>
  <c r="E284" i="9" s="1"/>
  <c r="E285" i="9" s="1"/>
  <c r="E286" i="9" s="1"/>
  <c r="E287" i="9" s="1"/>
  <c r="E289" i="9"/>
  <c r="E290" i="9" s="1"/>
  <c r="E291" i="9"/>
  <c r="E292" i="9" s="1"/>
  <c r="E293" i="9" s="1"/>
  <c r="E295" i="9"/>
  <c r="E296" i="9" s="1"/>
  <c r="E297" i="9" s="1"/>
  <c r="E298" i="9" s="1"/>
  <c r="E299" i="9" s="1"/>
  <c r="E301" i="9"/>
  <c r="E302" i="9" s="1"/>
  <c r="E303" i="9" s="1"/>
  <c r="E304" i="9" s="1"/>
  <c r="E305" i="9" s="1"/>
  <c r="E307" i="9"/>
  <c r="E308" i="9"/>
  <c r="E309" i="9"/>
  <c r="E310" i="9"/>
  <c r="E311" i="9" s="1"/>
  <c r="E313" i="9"/>
  <c r="E314" i="9" s="1"/>
  <c r="E315" i="9" s="1"/>
  <c r="E316" i="9" s="1"/>
  <c r="E317" i="9" s="1"/>
  <c r="E319" i="9"/>
  <c r="E320" i="9"/>
  <c r="E321" i="9"/>
  <c r="E322" i="9" s="1"/>
  <c r="E323" i="9" s="1"/>
  <c r="E325" i="9"/>
  <c r="E326" i="9"/>
  <c r="E327" i="9" s="1"/>
  <c r="E328" i="9" s="1"/>
  <c r="E329" i="9" s="1"/>
  <c r="E331" i="9"/>
  <c r="E332" i="9"/>
  <c r="E333" i="9" s="1"/>
  <c r="E334" i="9" s="1"/>
  <c r="E335" i="9" s="1"/>
  <c r="E337" i="9"/>
  <c r="E338" i="9" s="1"/>
  <c r="E339" i="9" s="1"/>
  <c r="E340" i="9" s="1"/>
  <c r="E341" i="9" s="1"/>
  <c r="E343" i="9"/>
  <c r="E344" i="9"/>
  <c r="E345" i="9" s="1"/>
  <c r="E346" i="9"/>
  <c r="E347" i="9" s="1"/>
  <c r="E349" i="9"/>
  <c r="E350" i="9"/>
  <c r="E351" i="9"/>
  <c r="E352" i="9" s="1"/>
  <c r="E353" i="9" s="1"/>
  <c r="E355" i="9"/>
  <c r="E356" i="9" s="1"/>
  <c r="E357" i="9" s="1"/>
  <c r="E358" i="9" s="1"/>
  <c r="E359" i="9" s="1"/>
  <c r="E361" i="9"/>
  <c r="E362" i="9" s="1"/>
  <c r="E363" i="9"/>
  <c r="E364" i="9"/>
  <c r="E365" i="9" s="1"/>
  <c r="E367" i="9"/>
  <c r="E368" i="9"/>
  <c r="E369" i="9"/>
  <c r="E370" i="9" s="1"/>
  <c r="E371" i="9" s="1"/>
  <c r="E373" i="9"/>
  <c r="E374" i="9" s="1"/>
  <c r="E375" i="9"/>
  <c r="E376" i="9" s="1"/>
  <c r="E377" i="9" s="1"/>
  <c r="E379" i="9"/>
  <c r="E380" i="9" s="1"/>
  <c r="E381" i="9" s="1"/>
  <c r="E382" i="9" s="1"/>
  <c r="E383" i="9" s="1"/>
  <c r="E385" i="9"/>
  <c r="E386" i="9"/>
  <c r="E387" i="9"/>
  <c r="E388" i="9" s="1"/>
  <c r="E389" i="9"/>
  <c r="E391" i="9"/>
  <c r="E392" i="9"/>
  <c r="E393" i="9" s="1"/>
  <c r="E394" i="9" s="1"/>
  <c r="E395" i="9" s="1"/>
  <c r="E397" i="9"/>
  <c r="E398" i="9"/>
  <c r="E399" i="9" s="1"/>
  <c r="E400" i="9" s="1"/>
  <c r="E401" i="9" s="1"/>
  <c r="E403" i="9"/>
  <c r="E404" i="9"/>
  <c r="E405" i="9" s="1"/>
  <c r="E406" i="9"/>
  <c r="E407" i="9"/>
  <c r="E409" i="9"/>
  <c r="E410" i="9"/>
  <c r="E411" i="9"/>
  <c r="E412" i="9" s="1"/>
  <c r="E413" i="9" s="1"/>
  <c r="E415" i="9"/>
  <c r="E416" i="9"/>
  <c r="E417" i="9" s="1"/>
  <c r="E418" i="9" s="1"/>
  <c r="E419" i="9" s="1"/>
  <c r="E421" i="9"/>
  <c r="E422" i="9"/>
  <c r="E423" i="9" s="1"/>
  <c r="E424" i="9" s="1"/>
  <c r="E425" i="9" s="1"/>
  <c r="E427" i="9"/>
  <c r="E428" i="9" s="1"/>
  <c r="E429" i="9" s="1"/>
  <c r="E430" i="9" s="1"/>
  <c r="E431" i="9" s="1"/>
  <c r="E433" i="9"/>
  <c r="E434" i="9" s="1"/>
  <c r="E435" i="9"/>
  <c r="E436" i="9" s="1"/>
  <c r="E437" i="9" s="1"/>
  <c r="E439" i="9"/>
  <c r="E440" i="9" s="1"/>
  <c r="E441" i="9" s="1"/>
  <c r="E442" i="9" s="1"/>
  <c r="E443" i="9" s="1"/>
  <c r="E445" i="9"/>
  <c r="E446" i="9" s="1"/>
  <c r="E447" i="9" s="1"/>
  <c r="E448" i="9" s="1"/>
  <c r="E449" i="9" s="1"/>
  <c r="E451" i="9"/>
  <c r="E452" i="9"/>
  <c r="E453" i="9"/>
  <c r="E454" i="9"/>
  <c r="E455" i="9" s="1"/>
  <c r="E457" i="9"/>
  <c r="E458" i="9"/>
  <c r="E459" i="9"/>
  <c r="E460" i="9" s="1"/>
  <c r="E461" i="9"/>
  <c r="E463" i="9"/>
  <c r="E464" i="9"/>
  <c r="E465" i="9"/>
  <c r="E466" i="9"/>
  <c r="E467" i="9"/>
  <c r="E469" i="9"/>
  <c r="E470" i="9"/>
  <c r="E471" i="9" s="1"/>
  <c r="E472" i="9" s="1"/>
  <c r="E473" i="9" s="1"/>
  <c r="E475" i="9"/>
  <c r="E476" i="9"/>
  <c r="E477" i="9" s="1"/>
  <c r="E478" i="9" s="1"/>
  <c r="E479" i="9" s="1"/>
  <c r="E481" i="9"/>
  <c r="E482" i="9"/>
  <c r="E483" i="9" s="1"/>
  <c r="E484" i="9" s="1"/>
  <c r="E485" i="9" s="1"/>
  <c r="E487" i="9"/>
  <c r="E488" i="9"/>
  <c r="E489" i="9" s="1"/>
  <c r="E490" i="9"/>
  <c r="E491" i="9" s="1"/>
  <c r="E493" i="9"/>
  <c r="E494" i="9" s="1"/>
  <c r="E495" i="9" s="1"/>
  <c r="E496" i="9" s="1"/>
  <c r="E497" i="9" s="1"/>
  <c r="E499" i="9"/>
  <c r="E500" i="9" s="1"/>
  <c r="E501" i="9" s="1"/>
  <c r="E502" i="9" s="1"/>
  <c r="E503" i="9" s="1"/>
  <c r="E505" i="9"/>
  <c r="E506" i="9" s="1"/>
  <c r="E507" i="9" s="1"/>
  <c r="E508" i="9" s="1"/>
  <c r="E509" i="9" s="1"/>
  <c r="E511" i="9"/>
  <c r="E512" i="9"/>
  <c r="E513" i="9"/>
  <c r="E514" i="9" s="1"/>
  <c r="E515" i="9" s="1"/>
  <c r="E517" i="9"/>
  <c r="E518" i="9" s="1"/>
  <c r="E519" i="9"/>
  <c r="E520" i="9" s="1"/>
  <c r="E521" i="9" s="1"/>
  <c r="E523" i="9"/>
  <c r="E524" i="9"/>
  <c r="E525" i="9"/>
  <c r="E526" i="9" s="1"/>
  <c r="E527" i="9" s="1"/>
  <c r="E529" i="9"/>
  <c r="E530" i="9"/>
  <c r="E531" i="9"/>
  <c r="E532" i="9" s="1"/>
  <c r="E533" i="9"/>
  <c r="E1" i="6"/>
  <c r="E2" i="6" s="1"/>
  <c r="D2" i="6"/>
  <c r="D3" i="6" s="1"/>
  <c r="D4" i="6" s="1"/>
  <c r="E7" i="6"/>
  <c r="E8" i="6"/>
  <c r="E9" i="6" s="1"/>
  <c r="E10" i="6" s="1"/>
  <c r="E11" i="6" s="1"/>
  <c r="E13" i="6"/>
  <c r="E14" i="6"/>
  <c r="E15" i="6" s="1"/>
  <c r="E16" i="6" s="1"/>
  <c r="E17" i="6" s="1"/>
  <c r="E19" i="6"/>
  <c r="E20" i="6" s="1"/>
  <c r="E21" i="6" s="1"/>
  <c r="E22" i="6" s="1"/>
  <c r="E23" i="6" s="1"/>
  <c r="E25" i="6"/>
  <c r="E26" i="6"/>
  <c r="E27" i="6" s="1"/>
  <c r="E28" i="6" s="1"/>
  <c r="E29" i="6" s="1"/>
  <c r="E31" i="6"/>
  <c r="E32" i="6" s="1"/>
  <c r="E33" i="6" s="1"/>
  <c r="E34" i="6" s="1"/>
  <c r="E35" i="6" s="1"/>
  <c r="E37" i="6"/>
  <c r="E38" i="6" s="1"/>
  <c r="E39" i="6" s="1"/>
  <c r="E40" i="6" s="1"/>
  <c r="E41" i="6" s="1"/>
  <c r="E43" i="6"/>
  <c r="E44" i="6"/>
  <c r="E45" i="6" s="1"/>
  <c r="E46" i="6" s="1"/>
  <c r="E47" i="6" s="1"/>
  <c r="E49" i="6"/>
  <c r="E50" i="6"/>
  <c r="E51" i="6" s="1"/>
  <c r="E52" i="6" s="1"/>
  <c r="E53" i="6" s="1"/>
  <c r="E55" i="6"/>
  <c r="E56" i="6" s="1"/>
  <c r="E57" i="6" s="1"/>
  <c r="E58" i="6" s="1"/>
  <c r="E59" i="6" s="1"/>
  <c r="E61" i="6"/>
  <c r="E62" i="6"/>
  <c r="E63" i="6"/>
  <c r="E64" i="6" s="1"/>
  <c r="E65" i="6" s="1"/>
  <c r="E67" i="6"/>
  <c r="E68" i="6"/>
  <c r="E69" i="6" s="1"/>
  <c r="E70" i="6" s="1"/>
  <c r="E71" i="6" s="1"/>
  <c r="E73" i="6"/>
  <c r="E74" i="6"/>
  <c r="E75" i="6" s="1"/>
  <c r="E76" i="6" s="1"/>
  <c r="E77" i="6" s="1"/>
  <c r="E79" i="6"/>
  <c r="E80" i="6"/>
  <c r="E81" i="6" s="1"/>
  <c r="E82" i="6" s="1"/>
  <c r="E83" i="6" s="1"/>
  <c r="E85" i="6"/>
  <c r="E86" i="6"/>
  <c r="E87" i="6"/>
  <c r="E88" i="6" s="1"/>
  <c r="E89" i="6" s="1"/>
  <c r="E91" i="6"/>
  <c r="E92" i="6"/>
  <c r="E93" i="6"/>
  <c r="E94" i="6"/>
  <c r="E95" i="6"/>
  <c r="E97" i="6"/>
  <c r="E98" i="6" s="1"/>
  <c r="E99" i="6" s="1"/>
  <c r="E100" i="6" s="1"/>
  <c r="E101" i="6" s="1"/>
  <c r="E103" i="6"/>
  <c r="E104" i="6" s="1"/>
  <c r="E105" i="6"/>
  <c r="E106" i="6" s="1"/>
  <c r="E107" i="6" s="1"/>
  <c r="E109" i="6"/>
  <c r="E110" i="6"/>
  <c r="E111" i="6"/>
  <c r="E112" i="6"/>
  <c r="E113" i="6" s="1"/>
  <c r="E115" i="6"/>
  <c r="E116" i="6" s="1"/>
  <c r="E117" i="6" s="1"/>
  <c r="E118" i="6" s="1"/>
  <c r="E119" i="6" s="1"/>
  <c r="E121" i="6"/>
  <c r="E122" i="6"/>
  <c r="E123" i="6" s="1"/>
  <c r="E124" i="6" s="1"/>
  <c r="E125" i="6" s="1"/>
  <c r="E127" i="6"/>
  <c r="E128" i="6"/>
  <c r="E129" i="6"/>
  <c r="E130" i="6" s="1"/>
  <c r="E131" i="6" s="1"/>
  <c r="E133" i="6"/>
  <c r="E134" i="6"/>
  <c r="E135" i="6" s="1"/>
  <c r="E136" i="6" s="1"/>
  <c r="E137" i="6" s="1"/>
  <c r="E139" i="6"/>
  <c r="E140" i="6"/>
  <c r="E141" i="6"/>
  <c r="E142" i="6"/>
  <c r="E143" i="6"/>
  <c r="E145" i="6"/>
  <c r="E146" i="6" s="1"/>
  <c r="E147" i="6" s="1"/>
  <c r="E148" i="6" s="1"/>
  <c r="E149" i="6" s="1"/>
  <c r="E151" i="6"/>
  <c r="E152" i="6" s="1"/>
  <c r="E153" i="6" s="1"/>
  <c r="E154" i="6" s="1"/>
  <c r="E155" i="6" s="1"/>
  <c r="E157" i="6"/>
  <c r="E158" i="6"/>
  <c r="E159" i="6"/>
  <c r="E160" i="6" s="1"/>
  <c r="E161" i="6" s="1"/>
  <c r="E163" i="6"/>
  <c r="E164" i="6"/>
  <c r="E165" i="6" s="1"/>
  <c r="E166" i="6" s="1"/>
  <c r="E167" i="6" s="1"/>
  <c r="E169" i="6"/>
  <c r="E170" i="6"/>
  <c r="E171" i="6"/>
  <c r="E172" i="6" s="1"/>
  <c r="E173" i="6" s="1"/>
  <c r="E175" i="6"/>
  <c r="E176" i="6" s="1"/>
  <c r="E177" i="6"/>
  <c r="E178" i="6"/>
  <c r="E179" i="6"/>
  <c r="E181" i="6"/>
  <c r="E182" i="6"/>
  <c r="E183" i="6" s="1"/>
  <c r="E184" i="6" s="1"/>
  <c r="E185" i="6" s="1"/>
  <c r="E187" i="6"/>
  <c r="E188" i="6" s="1"/>
  <c r="E189" i="6" s="1"/>
  <c r="E190" i="6" s="1"/>
  <c r="E191" i="6" s="1"/>
  <c r="E193" i="6"/>
  <c r="E194" i="6"/>
  <c r="E195" i="6"/>
  <c r="E196" i="6"/>
  <c r="E197" i="6" s="1"/>
  <c r="E199" i="6"/>
  <c r="E200" i="6" s="1"/>
  <c r="E201" i="6" s="1"/>
  <c r="E202" i="6" s="1"/>
  <c r="E203" i="6" s="1"/>
  <c r="E205" i="6"/>
  <c r="E206" i="6"/>
  <c r="E207" i="6"/>
  <c r="E208" i="6"/>
  <c r="E209" i="6"/>
  <c r="E211" i="6"/>
  <c r="E212" i="6"/>
  <c r="E213" i="6" s="1"/>
  <c r="E214" i="6" s="1"/>
  <c r="E215" i="6" s="1"/>
  <c r="E217" i="6"/>
  <c r="E218" i="6" s="1"/>
  <c r="E219" i="6" s="1"/>
  <c r="E220" i="6"/>
  <c r="E221" i="6"/>
  <c r="E223" i="6"/>
  <c r="E224" i="6"/>
  <c r="E225" i="6"/>
  <c r="E226" i="6"/>
  <c r="E227" i="6"/>
  <c r="E229" i="6"/>
  <c r="E230" i="6" s="1"/>
  <c r="E231" i="6" s="1"/>
  <c r="E232" i="6" s="1"/>
  <c r="E233" i="6" s="1"/>
  <c r="E235" i="6"/>
  <c r="E236" i="6" s="1"/>
  <c r="E237" i="6" s="1"/>
  <c r="E238" i="6" s="1"/>
  <c r="E239" i="6" s="1"/>
  <c r="E241" i="6"/>
  <c r="E242" i="6"/>
  <c r="E243" i="6"/>
  <c r="E244" i="6"/>
  <c r="E245" i="6"/>
  <c r="E247" i="6"/>
  <c r="E248" i="6" s="1"/>
  <c r="E249" i="6"/>
  <c r="E250" i="6" s="1"/>
  <c r="E251" i="6" s="1"/>
  <c r="E253" i="6"/>
  <c r="E254" i="6"/>
  <c r="E255" i="6" s="1"/>
  <c r="E256" i="6" s="1"/>
  <c r="E257" i="6" s="1"/>
  <c r="E259" i="6"/>
  <c r="E260" i="6"/>
  <c r="E261" i="6" s="1"/>
  <c r="E262" i="6" s="1"/>
  <c r="E263" i="6"/>
  <c r="E265" i="6"/>
  <c r="E266" i="6"/>
  <c r="E267" i="6" s="1"/>
  <c r="E268" i="6" s="1"/>
  <c r="E269" i="6" s="1"/>
  <c r="E271" i="6"/>
  <c r="E272" i="6" s="1"/>
  <c r="E273" i="6" s="1"/>
  <c r="E274" i="6" s="1"/>
  <c r="E275" i="6" s="1"/>
  <c r="E277" i="6"/>
  <c r="E278" i="6"/>
  <c r="E279" i="6"/>
  <c r="E280" i="6" s="1"/>
  <c r="E281" i="6" s="1"/>
  <c r="E283" i="6"/>
  <c r="E284" i="6" s="1"/>
  <c r="E285" i="6" s="1"/>
  <c r="E286" i="6" s="1"/>
  <c r="E287" i="6" s="1"/>
  <c r="E289" i="6"/>
  <c r="E290" i="6" s="1"/>
  <c r="E291" i="6" s="1"/>
  <c r="E292" i="6"/>
  <c r="E293" i="6"/>
  <c r="E295" i="6"/>
  <c r="E296" i="6"/>
  <c r="E297" i="6" s="1"/>
  <c r="E298" i="6" s="1"/>
  <c r="E299" i="6" s="1"/>
  <c r="E301" i="6"/>
  <c r="E302" i="6"/>
  <c r="E303" i="6"/>
  <c r="E304" i="6" s="1"/>
  <c r="E305" i="6" s="1"/>
  <c r="E307" i="6"/>
  <c r="E308" i="6"/>
  <c r="E309" i="6"/>
  <c r="E310" i="6"/>
  <c r="E311" i="6"/>
  <c r="E313" i="6"/>
  <c r="E314" i="6" s="1"/>
  <c r="E315" i="6" s="1"/>
  <c r="E316" i="6" s="1"/>
  <c r="E317" i="6" s="1"/>
  <c r="E319" i="6"/>
  <c r="E320" i="6" s="1"/>
  <c r="E321" i="6"/>
  <c r="E322" i="6" s="1"/>
  <c r="E323" i="6" s="1"/>
  <c r="E325" i="6"/>
  <c r="E326" i="6"/>
  <c r="E327" i="6"/>
  <c r="E328" i="6"/>
  <c r="E329" i="6" s="1"/>
  <c r="E331" i="6"/>
  <c r="E332" i="6" s="1"/>
  <c r="E333" i="6" s="1"/>
  <c r="E334" i="6" s="1"/>
  <c r="E335" i="6" s="1"/>
  <c r="E337" i="6"/>
  <c r="E338" i="6"/>
  <c r="E339" i="6" s="1"/>
  <c r="E340" i="6" s="1"/>
  <c r="E341" i="6" s="1"/>
  <c r="E343" i="6"/>
  <c r="E344" i="6"/>
  <c r="E345" i="6"/>
  <c r="E346" i="6" s="1"/>
  <c r="E347" i="6" s="1"/>
  <c r="E349" i="6"/>
  <c r="E350" i="6"/>
  <c r="E351" i="6" s="1"/>
  <c r="E352" i="6" s="1"/>
  <c r="E353" i="6" s="1"/>
  <c r="E355" i="6"/>
  <c r="E356" i="6" s="1"/>
  <c r="E357" i="6" s="1"/>
  <c r="E358" i="6" s="1"/>
  <c r="E359" i="6" s="1"/>
  <c r="E361" i="6"/>
  <c r="E362" i="6" s="1"/>
  <c r="E363" i="6" s="1"/>
  <c r="E364" i="6" s="1"/>
  <c r="E365" i="6" s="1"/>
  <c r="E367" i="6"/>
  <c r="E368" i="6" s="1"/>
  <c r="E369" i="6" s="1"/>
  <c r="E370" i="6" s="1"/>
  <c r="E371" i="6" s="1"/>
  <c r="E373" i="6"/>
  <c r="E374" i="6"/>
  <c r="E375" i="6"/>
  <c r="E376" i="6" s="1"/>
  <c r="E377" i="6" s="1"/>
  <c r="E379" i="6"/>
  <c r="E380" i="6"/>
  <c r="E381" i="6" s="1"/>
  <c r="E382" i="6" s="1"/>
  <c r="E383" i="6" s="1"/>
  <c r="E385" i="6"/>
  <c r="E386" i="6"/>
  <c r="E387" i="6"/>
  <c r="E388" i="6" s="1"/>
  <c r="E389" i="6" s="1"/>
  <c r="E391" i="6"/>
  <c r="E392" i="6" s="1"/>
  <c r="E393" i="6"/>
  <c r="E394" i="6"/>
  <c r="E395" i="6"/>
  <c r="E397" i="6"/>
  <c r="E398" i="6"/>
  <c r="E399" i="6" s="1"/>
  <c r="E400" i="6" s="1"/>
  <c r="E401" i="6" s="1"/>
  <c r="E403" i="6"/>
  <c r="E404" i="6" s="1"/>
  <c r="E405" i="6" s="1"/>
  <c r="E406" i="6" s="1"/>
  <c r="E407" i="6" s="1"/>
  <c r="E409" i="6"/>
  <c r="E410" i="6"/>
  <c r="E411" i="6"/>
  <c r="E412" i="6"/>
  <c r="E413" i="6" s="1"/>
  <c r="E415" i="6"/>
  <c r="E416" i="6" s="1"/>
  <c r="E417" i="6" s="1"/>
  <c r="E418" i="6" s="1"/>
  <c r="E419" i="6" s="1"/>
  <c r="E421" i="6"/>
  <c r="E422" i="6"/>
  <c r="E423" i="6" s="1"/>
  <c r="E424" i="6" s="1"/>
  <c r="E425" i="6" s="1"/>
  <c r="E427" i="6"/>
  <c r="E428" i="6"/>
  <c r="E429" i="6" s="1"/>
  <c r="E430" i="6" s="1"/>
  <c r="E431" i="6" s="1"/>
  <c r="E433" i="6"/>
  <c r="E434" i="6" s="1"/>
  <c r="E435" i="6" s="1"/>
  <c r="E436" i="6"/>
  <c r="E437" i="6"/>
  <c r="E439" i="6"/>
  <c r="E440" i="6" s="1"/>
  <c r="E441" i="6" s="1"/>
  <c r="E442" i="6" s="1"/>
  <c r="E443" i="6" s="1"/>
  <c r="E445" i="6"/>
  <c r="E446" i="6" s="1"/>
  <c r="E447" i="6" s="1"/>
  <c r="E448" i="6" s="1"/>
  <c r="E449" i="6" s="1"/>
  <c r="E451" i="6"/>
  <c r="E452" i="6" s="1"/>
  <c r="E453" i="6" s="1"/>
  <c r="E454" i="6" s="1"/>
  <c r="E455" i="6" s="1"/>
  <c r="E457" i="6"/>
  <c r="E458" i="6"/>
  <c r="E459" i="6"/>
  <c r="E460" i="6"/>
  <c r="E461" i="6"/>
  <c r="E463" i="6"/>
  <c r="E464" i="6" s="1"/>
  <c r="E465" i="6"/>
  <c r="E466" i="6" s="1"/>
  <c r="E467" i="6" s="1"/>
  <c r="E469" i="6"/>
  <c r="E470" i="6"/>
  <c r="E471" i="6" s="1"/>
  <c r="E472" i="6" s="1"/>
  <c r="E473" i="6" s="1"/>
  <c r="E475" i="6"/>
  <c r="E476" i="6"/>
  <c r="E477" i="6" s="1"/>
  <c r="E478" i="6" s="1"/>
  <c r="E479" i="6"/>
  <c r="E481" i="6"/>
  <c r="E482" i="6"/>
  <c r="E483" i="6" s="1"/>
  <c r="E484" i="6" s="1"/>
  <c r="E485" i="6" s="1"/>
  <c r="E487" i="6"/>
  <c r="E488" i="6" s="1"/>
  <c r="E489" i="6" s="1"/>
  <c r="E490" i="6" s="1"/>
  <c r="E491" i="6" s="1"/>
  <c r="E493" i="6"/>
  <c r="E494" i="6"/>
  <c r="E495" i="6"/>
  <c r="E496" i="6" s="1"/>
  <c r="E497" i="6" s="1"/>
  <c r="E499" i="6"/>
  <c r="E500" i="6" s="1"/>
  <c r="E501" i="6" s="1"/>
  <c r="E502" i="6" s="1"/>
  <c r="E503" i="6" s="1"/>
  <c r="E505" i="6"/>
  <c r="E506" i="6" s="1"/>
  <c r="E507" i="6" s="1"/>
  <c r="E508" i="6"/>
  <c r="E509" i="6"/>
  <c r="E511" i="6"/>
  <c r="E512" i="6"/>
  <c r="E513" i="6" s="1"/>
  <c r="E514" i="6" s="1"/>
  <c r="E515" i="6" s="1"/>
  <c r="E517" i="6"/>
  <c r="E518" i="6"/>
  <c r="E519" i="6"/>
  <c r="E520" i="6" s="1"/>
  <c r="E521" i="6" s="1"/>
  <c r="E523" i="6"/>
  <c r="E524" i="6"/>
  <c r="E525" i="6"/>
  <c r="E526" i="6"/>
  <c r="E527" i="6"/>
  <c r="E529" i="6"/>
  <c r="E530" i="6" s="1"/>
  <c r="E531" i="6" s="1"/>
  <c r="E532" i="6" s="1"/>
  <c r="E533" i="6" s="1"/>
  <c r="N37" i="14" l="1"/>
  <c r="D5" i="6"/>
  <c r="E3" i="6"/>
  <c r="E4" i="6" s="1"/>
  <c r="E5" i="6" s="1"/>
  <c r="B3" i="6"/>
  <c r="B4" i="6"/>
  <c r="B1" i="6"/>
  <c r="B1" i="9"/>
  <c r="B2" i="9" s="1"/>
  <c r="D2" i="9"/>
  <c r="B3" i="9" l="1"/>
  <c r="D3" i="9"/>
  <c r="B47" i="6"/>
  <c r="C47" i="6" s="1"/>
  <c r="C5" i="6"/>
  <c r="B2" i="6"/>
  <c r="B7" i="6"/>
  <c r="B56" i="6" s="1"/>
  <c r="C68" i="6" s="1"/>
  <c r="B11" i="6"/>
  <c r="B51" i="6" s="1"/>
  <c r="C75" i="6" s="1"/>
  <c r="C15" i="6"/>
  <c r="B28" i="6"/>
  <c r="B66" i="6" s="1"/>
  <c r="C66" i="6" s="1"/>
  <c r="C32" i="6"/>
  <c r="B16" i="6"/>
  <c r="B52" i="6" s="1"/>
  <c r="C76" i="6" s="1"/>
  <c r="C7" i="6"/>
  <c r="C11" i="6"/>
  <c r="B20" i="6"/>
  <c r="B76" i="6" s="1"/>
  <c r="C52" i="6" s="1"/>
  <c r="B24" i="6"/>
  <c r="B71" i="6" s="1"/>
  <c r="C59" i="6" s="1"/>
  <c r="C28" i="6"/>
  <c r="C20" i="6"/>
  <c r="C4" i="6"/>
  <c r="B8" i="6"/>
  <c r="B62" i="6" s="1"/>
  <c r="C62" i="6" s="1"/>
  <c r="B12" i="6"/>
  <c r="B57" i="6" s="1"/>
  <c r="C69" i="6" s="1"/>
  <c r="C16" i="6"/>
  <c r="B25" i="6"/>
  <c r="B77" i="6" s="1"/>
  <c r="C53" i="6" s="1"/>
  <c r="B29" i="6"/>
  <c r="B72" i="6" s="1"/>
  <c r="C60" i="6" s="1"/>
  <c r="C33" i="6"/>
  <c r="B6" i="6"/>
  <c r="B50" i="6" s="1"/>
  <c r="C74" i="6" s="1"/>
  <c r="B13" i="6"/>
  <c r="B63" i="6" s="1"/>
  <c r="C63" i="6" s="1"/>
  <c r="C18" i="6"/>
  <c r="C24" i="6"/>
  <c r="B30" i="6"/>
  <c r="B78" i="6" s="1"/>
  <c r="C54" i="6" s="1"/>
  <c r="C35" i="6"/>
  <c r="C6" i="6"/>
  <c r="C13" i="6"/>
  <c r="B19" i="6"/>
  <c r="B70" i="6" s="1"/>
  <c r="C58" i="6" s="1"/>
  <c r="C25" i="6"/>
  <c r="C30" i="6"/>
  <c r="B21" i="6"/>
  <c r="B53" i="6" s="1"/>
  <c r="C77" i="6" s="1"/>
  <c r="C12" i="6"/>
  <c r="C19" i="6"/>
  <c r="B31" i="6"/>
  <c r="B55" i="6" s="1"/>
  <c r="C79" i="6" s="1"/>
  <c r="C26" i="6"/>
  <c r="B9" i="6"/>
  <c r="B68" i="6" s="1"/>
  <c r="C56" i="6" s="1"/>
  <c r="B32" i="6"/>
  <c r="B61" i="6" s="1"/>
  <c r="C73" i="6" s="1"/>
  <c r="C23" i="6"/>
  <c r="C8" i="6"/>
  <c r="B14" i="6"/>
  <c r="B69" i="6" s="1"/>
  <c r="C57" i="6" s="1"/>
  <c r="B26" i="6"/>
  <c r="B54" i="6" s="1"/>
  <c r="C78" i="6" s="1"/>
  <c r="C31" i="6"/>
  <c r="C14" i="6"/>
  <c r="C21" i="6"/>
  <c r="C9" i="6"/>
  <c r="B15" i="6"/>
  <c r="B75" i="6" s="1"/>
  <c r="C51" i="6" s="1"/>
  <c r="B27" i="6"/>
  <c r="B60" i="6" s="1"/>
  <c r="C72" i="6" s="1"/>
  <c r="B33" i="6"/>
  <c r="B67" i="6" s="1"/>
  <c r="C67" i="6" s="1"/>
  <c r="B35" i="6"/>
  <c r="B79" i="6" s="1"/>
  <c r="C55" i="6" s="1"/>
  <c r="B22" i="6"/>
  <c r="B59" i="6" s="1"/>
  <c r="C71" i="6" s="1"/>
  <c r="C27" i="6"/>
  <c r="C17" i="6"/>
  <c r="B23" i="6"/>
  <c r="B65" i="6" s="1"/>
  <c r="C65" i="6" s="1"/>
  <c r="B48" i="6"/>
  <c r="C48" i="6" s="1"/>
  <c r="B10" i="6"/>
  <c r="B74" i="6" s="1"/>
  <c r="C50" i="6" s="1"/>
  <c r="B17" i="6"/>
  <c r="B58" i="6" s="1"/>
  <c r="C70" i="6" s="1"/>
  <c r="C22" i="6"/>
  <c r="B34" i="6"/>
  <c r="B73" i="6" s="1"/>
  <c r="C61" i="6" s="1"/>
  <c r="C34" i="6"/>
  <c r="B18" i="6"/>
  <c r="B64" i="6" s="1"/>
  <c r="C64" i="6" s="1"/>
  <c r="C10" i="6"/>
  <c r="C29" i="6"/>
  <c r="B5" i="6"/>
  <c r="B49" i="6" l="1"/>
  <c r="C49" i="6" s="1"/>
  <c r="C3" i="6"/>
  <c r="D4" i="9"/>
  <c r="B4" i="9"/>
  <c r="C5" i="9"/>
  <c r="B47" i="9"/>
  <c r="C47" i="9" s="1"/>
  <c r="C8" i="9" l="1"/>
  <c r="C12" i="9"/>
  <c r="B21" i="9"/>
  <c r="B53" i="9" s="1"/>
  <c r="C77" i="9" s="1"/>
  <c r="C29" i="9"/>
  <c r="C9" i="9"/>
  <c r="B22" i="9"/>
  <c r="B59" i="9" s="1"/>
  <c r="C71" i="9" s="1"/>
  <c r="C26" i="9"/>
  <c r="B14" i="9"/>
  <c r="B69" i="9" s="1"/>
  <c r="C57" i="9" s="1"/>
  <c r="B18" i="9"/>
  <c r="B64" i="9" s="1"/>
  <c r="C64" i="9" s="1"/>
  <c r="C22" i="9"/>
  <c r="B31" i="9"/>
  <c r="B55" i="9" s="1"/>
  <c r="C79" i="9" s="1"/>
  <c r="B35" i="9"/>
  <c r="B79" i="9" s="1"/>
  <c r="C55" i="9" s="1"/>
  <c r="C14" i="9"/>
  <c r="C18" i="9"/>
  <c r="B27" i="9"/>
  <c r="B60" i="9" s="1"/>
  <c r="C72" i="9" s="1"/>
  <c r="C31" i="9"/>
  <c r="C35" i="9"/>
  <c r="B6" i="9"/>
  <c r="B50" i="9" s="1"/>
  <c r="C74" i="9" s="1"/>
  <c r="B19" i="9"/>
  <c r="B70" i="9" s="1"/>
  <c r="C58" i="9" s="1"/>
  <c r="B23" i="9"/>
  <c r="B65" i="9" s="1"/>
  <c r="C65" i="9" s="1"/>
  <c r="C27" i="9"/>
  <c r="B7" i="9"/>
  <c r="B56" i="9" s="1"/>
  <c r="C68" i="9" s="1"/>
  <c r="B11" i="9"/>
  <c r="B51" i="9" s="1"/>
  <c r="C75" i="9" s="1"/>
  <c r="B28" i="9"/>
  <c r="B66" i="9" s="1"/>
  <c r="C66" i="9" s="1"/>
  <c r="C32" i="9"/>
  <c r="C16" i="9"/>
  <c r="C24" i="9"/>
  <c r="B48" i="9"/>
  <c r="C48" i="9" s="1"/>
  <c r="C4" i="9"/>
  <c r="B9" i="9"/>
  <c r="B68" i="9" s="1"/>
  <c r="C56" i="9" s="1"/>
  <c r="B17" i="9"/>
  <c r="B58" i="9" s="1"/>
  <c r="C70" i="9" s="1"/>
  <c r="B33" i="9"/>
  <c r="B67" i="9" s="1"/>
  <c r="C67" i="9" s="1"/>
  <c r="C17" i="9"/>
  <c r="C33" i="9"/>
  <c r="B12" i="9"/>
  <c r="B57" i="9" s="1"/>
  <c r="C69" i="9" s="1"/>
  <c r="C11" i="9"/>
  <c r="C19" i="9"/>
  <c r="B26" i="9"/>
  <c r="B54" i="9" s="1"/>
  <c r="C78" i="9" s="1"/>
  <c r="B34" i="9"/>
  <c r="B73" i="9" s="1"/>
  <c r="C61" i="9" s="1"/>
  <c r="C34" i="9"/>
  <c r="C28" i="9"/>
  <c r="B13" i="9"/>
  <c r="B63" i="9" s="1"/>
  <c r="C63" i="9" s="1"/>
  <c r="B8" i="9"/>
  <c r="B62" i="9" s="1"/>
  <c r="C62" i="9" s="1"/>
  <c r="C13" i="9"/>
  <c r="B29" i="9"/>
  <c r="B72" i="9" s="1"/>
  <c r="C60" i="9" s="1"/>
  <c r="B24" i="9"/>
  <c r="B71" i="9" s="1"/>
  <c r="C59" i="9" s="1"/>
  <c r="C6" i="9"/>
  <c r="C21" i="9"/>
  <c r="C23" i="9"/>
  <c r="B16" i="9"/>
  <c r="B52" i="9" s="1"/>
  <c r="C76" i="9" s="1"/>
  <c r="C7" i="9"/>
  <c r="B32" i="9"/>
  <c r="B61" i="9" s="1"/>
  <c r="C73" i="9" s="1"/>
  <c r="D5" i="9"/>
  <c r="C20" i="9" s="1"/>
  <c r="B5" i="9"/>
  <c r="B25" i="9" l="1"/>
  <c r="B77" i="9" s="1"/>
  <c r="C53" i="9" s="1"/>
  <c r="C30" i="9"/>
  <c r="B30" i="9"/>
  <c r="B78" i="9" s="1"/>
  <c r="C54" i="9" s="1"/>
  <c r="C25" i="9"/>
  <c r="B15" i="9"/>
  <c r="B75" i="9" s="1"/>
  <c r="C51" i="9" s="1"/>
  <c r="C10" i="9"/>
  <c r="C15" i="9"/>
  <c r="B49" i="9"/>
  <c r="C49" i="9" s="1"/>
  <c r="C3" i="9"/>
  <c r="B20" i="9"/>
  <c r="B76" i="9" s="1"/>
  <c r="C52" i="9" s="1"/>
  <c r="B10" i="9"/>
  <c r="B74" i="9" s="1"/>
  <c r="C5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ruud</author>
  </authors>
  <commentList>
    <comment ref="A1" authorId="0" shapeId="0" xr:uid="{00000000-0006-0000-0200-000001000000}">
      <text>
        <r>
          <rPr>
            <b/>
            <sz val="9"/>
            <color indexed="81"/>
            <rFont val="Tahoma"/>
            <family val="2"/>
          </rPr>
          <t>ruud:</t>
        </r>
        <r>
          <rPr>
            <sz val="9"/>
            <color indexed="81"/>
            <rFont val="Tahoma"/>
            <family val="2"/>
          </rPr>
          <t xml:space="preserve">
WIP
- all buffers now move
- can inspect leds of individual buffers
- can set leds of individual buffers
TODO
- set whole characters
- set character animated in from left/below/above
- skip frames in animation / division number
- set rotation / fill from animation
- rotate patterns in for columns / rows: also at a specific column and row.
- take into account colums with cC rR etc.
- remove dropdowns for the animation: they are now in commands...
And then
- make the animation fade out
- make the animation go round
- control how intermediate buffers are shown (show e.g. only begin/last)</t>
        </r>
      </text>
    </comment>
  </commentList>
</comments>
</file>

<file path=xl/sharedStrings.xml><?xml version="1.0" encoding="utf-8"?>
<sst xmlns="http://schemas.openxmlformats.org/spreadsheetml/2006/main" count="534" uniqueCount="290">
  <si>
    <t>=e</t>
  </si>
  <si>
    <t>=e=d3.=k6=c5.01111=c6.00111=c7.00011=c8.00001=k4=c5.10000=c6.11000=c7.11100=c8.11110=C9.11111=pb=pb=pb=pb</t>
  </si>
  <si>
    <t>sleep n frames</t>
  </si>
  <si>
    <t>=e=k1a=k2=pd=k5o=k4O=k6=pb=k4.........................</t>
  </si>
  <si>
    <t>=1=r=2=r=3=r=4=r=5=r=6=r=7=r</t>
  </si>
  <si>
    <t>=1=k=2=k=3=k=4=k=5=k=6=k=7=k</t>
  </si>
  <si>
    <t>=1=l=l=l=2=l=l=l=3=l=l=l=4=l=l=l=5=l=l=l=6=l=l=l=7=l=l=l</t>
  </si>
  <si>
    <t xml:space="preserve">(1234567890),&lt;+-/*&gt;. </t>
  </si>
  <si>
    <t>[</t>
  </si>
  <si>
    <t>abcdefghijklmnopqrstuwzxyz</t>
  </si>
  <si>
    <t>0123456789</t>
  </si>
  <si>
    <t>+-/*=-_[|]\()' " :;.,&lt;&gt;</t>
  </si>
  <si>
    <t>=6UVWXYZ</t>
  </si>
  <si>
    <t>ABCDEFGHIJKLMNOPQRSTUVWXYZ</t>
  </si>
  <si>
    <t>Pattern</t>
  </si>
  <si>
    <t>A</t>
  </si>
  <si>
    <t>B</t>
  </si>
  <si>
    <t>C</t>
  </si>
  <si>
    <t>D</t>
  </si>
  <si>
    <t>E</t>
  </si>
  <si>
    <t>F</t>
  </si>
  <si>
    <t xml:space="preserve"> </t>
  </si>
  <si>
    <t>G</t>
  </si>
  <si>
    <t>H</t>
  </si>
  <si>
    <t>I</t>
  </si>
  <si>
    <t>J</t>
  </si>
  <si>
    <t>K</t>
  </si>
  <si>
    <t>L</t>
  </si>
  <si>
    <t>M</t>
  </si>
  <si>
    <t>N</t>
  </si>
  <si>
    <t>O</t>
  </si>
  <si>
    <t>P</t>
  </si>
  <si>
    <t>Q</t>
  </si>
  <si>
    <t>R</t>
  </si>
  <si>
    <t>S</t>
  </si>
  <si>
    <t>T</t>
  </si>
  <si>
    <t>U</t>
  </si>
  <si>
    <t>V</t>
  </si>
  <si>
    <t>W</t>
  </si>
  <si>
    <t>X</t>
  </si>
  <si>
    <t>Y</t>
  </si>
  <si>
    <t>Z</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</si>
  <si>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</si>
  <si>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</si>
  <si>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</si>
  <si>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</si>
  <si>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</si>
  <si>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</si>
  <si>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</si>
  <si>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</si>
  <si>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</si>
  <si>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</si>
  <si>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</si>
  <si>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</si>
  <si>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</si>
  <si>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</si>
  <si>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</si>
  <si>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</si>
  <si>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</si>
  <si>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</si>
  <si>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</si>
  <si>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</si>
  <si>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</si>
  <si>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</si>
  <si>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</si>
  <si>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</si>
  <si>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</si>
  <si>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</si>
  <si>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</si>
  <si>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</si>
  <si>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</si>
  <si>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</si>
  <si>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</si>
  <si>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</si>
  <si>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t>
  </si>
  <si>
    <t>!</t>
  </si>
  <si>
    <t>?</t>
  </si>
  <si>
    <t>)</t>
  </si>
  <si>
    <t>+</t>
  </si>
  <si>
    <t>-</t>
  </si>
  <si>
    <t>*</t>
  </si>
  <si>
    <t>/</t>
  </si>
  <si>
    <t>=</t>
  </si>
  <si>
    <t>|</t>
  </si>
  <si>
    <t>\</t>
  </si>
  <si>
    <t>&lt;</t>
  </si>
  <si>
    <t>_</t>
  </si>
  <si>
    <t>&gt;</t>
  </si>
  <si>
    <t>=b</t>
  </si>
  <si>
    <t>=l</t>
  </si>
  <si>
    <t>RUIT =r (diamond)</t>
  </si>
  <si>
    <t>BLOK =b (3x5 block)</t>
  </si>
  <si>
    <t>LIJN =l (line)</t>
  </si>
  <si>
    <t>KRUIS =k (cross)</t>
  </si>
  <si>
    <t>=0</t>
  </si>
  <si>
    <t>=1..7</t>
  </si>
  <si>
    <t>Set color to nothing (no light)</t>
  </si>
  <si>
    <t>Set color to blue(1),red(2),cyan(3),red(4),magenta(5),yellow(6) or white(7)</t>
  </si>
  <si>
    <t>Alternative characters:</t>
  </si>
  <si>
    <t>erase all LEDS</t>
  </si>
  <si>
    <t>arg</t>
  </si>
  <si>
    <t>set column LEDS</t>
  </si>
  <si>
    <t>dd.bbbbb</t>
  </si>
  <si>
    <t>d.bbbbbbbbbbbbbbbbbbbbbbbbb</t>
  </si>
  <si>
    <t>set row LEDS</t>
  </si>
  <si>
    <t>[0..7]</t>
  </si>
  <si>
    <t>set intensity</t>
  </si>
  <si>
    <t>display equal character</t>
  </si>
  <si>
    <t>dddd</t>
  </si>
  <si>
    <t>display pattern "dd"</t>
  </si>
  <si>
    <t>PATTERNS</t>
  </si>
  <si>
    <t>diamond</t>
  </si>
  <si>
    <t>block</t>
  </si>
  <si>
    <t>star</t>
  </si>
  <si>
    <t>set color to..[none,blue,red,cyan,green,magenta,yellow,white]</t>
  </si>
  <si>
    <t>set timing in ms affects ALL the other buffers as well… Time your timing…</t>
  </si>
  <si>
    <t>UC to "finish" &amp; capture</t>
  </si>
  <si>
    <t>UC/LC</t>
  </si>
  <si>
    <t>vertical line</t>
  </si>
  <si>
    <t>start n col</t>
  </si>
  <si>
    <t>width</t>
  </si>
  <si>
    <t>end n col</t>
  </si>
  <si>
    <t>char OK</t>
  </si>
  <si>
    <t>Text R/L</t>
  </si>
  <si>
    <t>Text L/R</t>
  </si>
  <si>
    <t>Text down</t>
  </si>
  <si>
    <t>Text up</t>
  </si>
  <si>
    <t>dd.</t>
  </si>
  <si>
    <t>=d</t>
  </si>
  <si>
    <t>=c</t>
  </si>
  <si>
    <t>divide framerate for this channel (only every dd frame is updated)</t>
  </si>
  <si>
    <t>static</t>
  </si>
  <si>
    <t>dd.text.</t>
  </si>
  <si>
    <t>Display text from position dd. The separator can be chosen to any character NOT a digit and NOT in the string.</t>
  </si>
  <si>
    <t>UC to put whole text in one go</t>
  </si>
  <si>
    <t>ignored</t>
  </si>
  <si>
    <t>animate into column 25</t>
  </si>
  <si>
    <t>Behaviour of text in various situations per buffer</t>
  </si>
  <si>
    <t>Text in the input buffer</t>
  </si>
  <si>
    <t>C[col].[5digits]</t>
  </si>
  <si>
    <t>placed, stop processing</t>
  </si>
  <si>
    <t>c[col].[5digits]</t>
  </si>
  <si>
    <t>T[col].[SomeText].</t>
  </si>
  <si>
    <t>t[col].[SomeText].</t>
  </si>
  <si>
    <t>animate in specified column, one column per subsequent cycle, continue processing</t>
  </si>
  <si>
    <t>The reason for ignoring text is from the fact that the column in which to "flow in" the text cannot be determined. So the command is meaningless. Therefore use the T, or t command for storing text in these buffers</t>
  </si>
  <si>
    <t>placed, whole column, stop processing</t>
  </si>
  <si>
    <t>placed, whole column, continue processing</t>
  </si>
  <si>
    <t>animate into column 1, note that characters become Right to Left.</t>
  </si>
  <si>
    <t>(1) Static</t>
  </si>
  <si>
    <t>(2) R-&gt;L</t>
  </si>
  <si>
    <t>(3) L-R</t>
  </si>
  <si>
    <t>(4) Up</t>
  </si>
  <si>
    <t>(5) Down</t>
  </si>
  <si>
    <t>Implementation notes</t>
  </si>
  <si>
    <t>transform to C commands for column 1 into animate buffer</t>
  </si>
  <si>
    <t>transform to C commands for column 25 into animate buffer</t>
  </si>
  <si>
    <t>none</t>
  </si>
  <si>
    <t>Display of a…</t>
  </si>
  <si>
    <t>character</t>
  </si>
  <si>
    <t>what does it do</t>
  </si>
  <si>
    <t>comment</t>
  </si>
  <si>
    <t>set filling for buffer 2-5</t>
  </si>
  <si>
    <t>switch on looping information for buffer 2-5</t>
  </si>
  <si>
    <t>serialize bits of SomeText in rows in time dimension and shift in one row at a time from row 5, force wait of further cycles when not all columns are free for this buffer</t>
  </si>
  <si>
    <t>serialize bits of SomeText in rows in time dimension and shift in one row at a time from row 1, force wait of further cycles when not all columns are free for this buffer</t>
  </si>
  <si>
    <t>animate in specified column, one column per subsequent cycle, continue processing,  note that characters are inverted (right to left), so the reading order is OK.</t>
  </si>
  <si>
    <t>placed, whole row, stop processing</t>
  </si>
  <si>
    <t>placed, whole row, continue processing</t>
  </si>
  <si>
    <t>R[row].[25digits]</t>
  </si>
  <si>
    <t>r[row].[25digits]</t>
  </si>
  <si>
    <t>animate in subsequent columns from row 5, continue processing: block entry in column when other animations are queued for any of them</t>
  </si>
  <si>
    <t>animate in subsequent columns from row 1, continue processing: block entry in column when other animations are queued for any of them</t>
  </si>
  <si>
    <t>=e=k6=t1.1.=t9.2.=t17.3.=k4=S5.=t17.a.=S25.</t>
  </si>
  <si>
    <t>transform to c commands (to continue processing all columns) followed by S1 to stop processing</t>
  </si>
  <si>
    <t>serialize bits of SomeText into columns (fixed) in time dimension and shift in one column at a time</t>
  </si>
  <si>
    <t>serialize bits into columns of SomeText in time dimension (fixed) and shift in one column at a time, use TEXT input</t>
  </si>
  <si>
    <t>T buf 1,2,3,4,5</t>
  </si>
  <si>
    <t>=c1.00000=c2.11111=c3.10100=c4.10100</t>
  </si>
  <si>
    <t>t buf 1</t>
  </si>
  <si>
    <t>t buf 2</t>
  </si>
  <si>
    <t>t buf 3</t>
  </si>
  <si>
    <t>t buf 4</t>
  </si>
  <si>
    <t>t buf 5</t>
  </si>
  <si>
    <t>=C1.00000=C2.11111=C3.10100=C4.10100</t>
  </si>
  <si>
    <t>=C25.00000=C25.11111=C25.10100=C25.10100</t>
  </si>
  <si>
    <t>=C1.10100=C1.10100=C1.11111=C1.00000</t>
  </si>
  <si>
    <t>=r5.0111=r5.0100=r5.0111=r5.0100=r5.0100=r5.0000</t>
  </si>
  <si>
    <t>=r1.0100=r1.0100=r1.0111=r1.0100=r1.0111=r1.0000</t>
  </si>
  <si>
    <t>=C2.00000=C3.11111=C4.10100=C5.10100</t>
  </si>
  <si>
    <t>=c2.00000=c2.11111=c2.10100=c2.10100</t>
  </si>
  <si>
    <t>=c2.10100=c2.10100=c2.11111=c2.00000</t>
  </si>
  <si>
    <t>as is, prepend to animate buffer</t>
  </si>
  <si>
    <t>wait till no more commands in this column, serialize</t>
  </si>
  <si>
    <t>monitor for delays in columns for this row, serialize</t>
  </si>
  <si>
    <t>followed by S1.</t>
  </si>
  <si>
    <t>=e=k2=T13.xyz.=S7</t>
  </si>
  <si>
    <t>=e=k4=t1.xyz.=S7</t>
  </si>
  <si>
    <t>placed, one clomun at a time</t>
  </si>
  <si>
    <t>transform to C commands (in time AND position) and process</t>
  </si>
  <si>
    <t>Examples: (place in one of the green command buffers B41..44 abd press "Add Text" Tip switch on auto add to register the commands..</t>
  </si>
  <si>
    <t>=k5=pr  =k4abcdefghijklmnopqrstuvwxyz  =k3=pr  =k2(1234567890),&lt;+-/*&gt;.  =k1=pr  =k6ABCDEFGHIJKLMNOPQRSTUVWXYZ</t>
  </si>
  <si>
    <t>Column1</t>
  </si>
  <si>
    <t>Host</t>
  </si>
  <si>
    <t>User</t>
  </si>
  <si>
    <t>Password</t>
  </si>
  <si>
    <t>Port</t>
  </si>
  <si>
    <t>topic root</t>
  </si>
  <si>
    <t>All</t>
  </si>
  <si>
    <t>Head</t>
  </si>
  <si>
    <t>Ring</t>
  </si>
  <si>
    <t>LED</t>
  </si>
  <si>
    <t>Timing</t>
  </si>
  <si>
    <t>Period</t>
  </si>
  <si>
    <t>ms</t>
  </si>
  <si>
    <t>Strobe</t>
  </si>
  <si>
    <t>Left Eye</t>
  </si>
  <si>
    <t>Nose</t>
  </si>
  <si>
    <t>Unique</t>
  </si>
  <si>
    <t>Miscellaneous</t>
  </si>
  <si>
    <t>Intensity</t>
  </si>
  <si>
    <t>Min Intensity</t>
  </si>
  <si>
    <t>Max Intensity</t>
  </si>
  <si>
    <t>Random Follow Nose</t>
  </si>
  <si>
    <t>Right</t>
  </si>
  <si>
    <t>Refresh rate</t>
  </si>
  <si>
    <t>RPM</t>
  </si>
  <si>
    <t>Values for MOVEMENT</t>
  </si>
  <si>
    <t>continuous</t>
  </si>
  <si>
    <t>left</t>
  </si>
  <si>
    <t>center</t>
  </si>
  <si>
    <t>right</t>
  </si>
  <si>
    <t>Values for SHAPE</t>
  </si>
  <si>
    <t>Sine</t>
  </si>
  <si>
    <t>Saw</t>
  </si>
  <si>
    <t>Blok1</t>
  </si>
  <si>
    <t>Blok2</t>
  </si>
  <si>
    <t>Random</t>
  </si>
  <si>
    <t>Values for INVERTED</t>
  </si>
  <si>
    <t>/s</t>
  </si>
  <si>
    <t>pinball requests</t>
  </si>
  <si>
    <t>Left</t>
  </si>
  <si>
    <t>Center</t>
  </si>
  <si>
    <t>Blink</t>
  </si>
  <si>
    <t>Flash</t>
  </si>
  <si>
    <t>Normal</t>
  </si>
  <si>
    <t>Inverted</t>
  </si>
  <si>
    <t>LOWRES on HIGHres Dalek</t>
  </si>
  <si>
    <t>normal</t>
  </si>
  <si>
    <t>centered</t>
  </si>
  <si>
    <t>=k3=l7</t>
  </si>
  <si>
    <t>Palette</t>
  </si>
  <si>
    <t>Left Ring</t>
  </si>
  <si>
    <t>Right Ring</t>
  </si>
  <si>
    <t>Right Eye</t>
  </si>
  <si>
    <t>Next color</t>
  </si>
  <si>
    <t>Selected color</t>
  </si>
  <si>
    <t>Follow Left Eye</t>
  </si>
  <si>
    <t>Follow Right Eye</t>
  </si>
  <si>
    <t>Follow Nose</t>
  </si>
  <si>
    <t>On</t>
  </si>
  <si>
    <t>Blink Strobing</t>
  </si>
  <si>
    <t>Flash Strobing</t>
  </si>
  <si>
    <t>Group random</t>
  </si>
  <si>
    <t>Timing Head</t>
  </si>
  <si>
    <t>Timing Ring</t>
  </si>
  <si>
    <t>Rotate</t>
  </si>
  <si>
    <t>Fill</t>
  </si>
  <si>
    <t>Auto HEAD</t>
  </si>
  <si>
    <t>Auto RING</t>
  </si>
  <si>
    <t>Description RING</t>
  </si>
  <si>
    <t>DescriptionHEAD</t>
  </si>
  <si>
    <t>MQTT sleep/active commands</t>
  </si>
  <si>
    <t>Patten</t>
  </si>
  <si>
    <t>R000000000000000000000000Z</t>
  </si>
  <si>
    <t>C666BBBNNS</t>
  </si>
  <si>
    <t>pinball request STOP</t>
  </si>
  <si>
    <t>pinball request DELAY CENTER</t>
  </si>
  <si>
    <t>=e=k2=I5Hello World</t>
  </si>
  <si>
    <t xml:space="preserve">=e=k6=l5Hello World!!!!!!!!                                                                                                                         </t>
  </si>
  <si>
    <t>The URL of the MQTT broker you want to use. (client certificates / TLS NOT supported yet)</t>
  </si>
  <si>
    <t>The MQTT user</t>
  </si>
  <si>
    <t>The MQTT password</t>
  </si>
  <si>
    <t>The MQTT port of the broker</t>
  </si>
  <si>
    <t>This is the root of the topic tree, where all published commands are read from and where the spreadsheet reads commands it is subscribed for</t>
  </si>
  <si>
    <t>your.mqtt.host</t>
  </si>
  <si>
    <t>mqttUser</t>
  </si>
  <si>
    <t>mqttPass</t>
  </si>
  <si>
    <t>yourRoot/pinball/DoctorWho/dalekHead/</t>
  </si>
  <si>
    <t>C0Z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</si>
</sst>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Fr.&quot;\ * #,##0.00_ ;_ &quot;Fr.&quot;\ * \-#,##0.00_ ;_ &quot;Fr.&quot;\ * &quot;-&quot;??_ ;_ @_ "/>
  </numFmts>
  <fonts count="17" x14ac:knownFonts="1">
    <font>
      <sz val="11"/>
      <color theme="1"/>
      <name val="Arial"/>
      <family val="2"/>
    </font>
    <font>
      <sz val="11"/>
      <color indexed="8"/>
      <name val="Arial"/>
      <family val="2"/>
    </font>
    <font>
      <sz val="11"/>
      <color indexed="8"/>
      <name val="Arial"/>
      <family val="2"/>
    </font>
    <font>
      <sz val="8"/>
      <name val="Arial"/>
      <family val="2"/>
    </font>
    <font>
      <sz val="8"/>
      <color indexed="8"/>
      <name val="Arial"/>
      <family val="2"/>
    </font>
    <font>
      <sz val="11"/>
      <color indexed="60"/>
      <name val="Arial"/>
      <family val="2"/>
    </font>
    <font>
      <b/>
      <i/>
      <sz val="11"/>
      <color indexed="16"/>
      <name val="Arial"/>
      <family val="2"/>
    </font>
    <font>
      <sz val="8"/>
      <color rgb="FF000000"/>
      <name val="Segoe UI"/>
      <family val="2"/>
    </font>
    <font>
      <b/>
      <sz val="9"/>
      <color indexed="81"/>
      <name val="Tahoma"/>
      <family val="2"/>
    </font>
    <font>
      <sz val="9"/>
      <color indexed="81"/>
      <name val="Tahoma"/>
      <family val="2"/>
    </font>
    <font>
      <sz val="11"/>
      <color rgb="FF3F3F76"/>
      <name val="Calibri"/>
      <family val="2"/>
      <scheme val="minor"/>
    </font>
    <font>
      <b/>
      <sz val="16"/>
      <color theme="1"/>
      <name val="Arial"/>
      <family val="2"/>
    </font>
    <font>
      <b/>
      <sz val="16"/>
      <color rgb="FF3F3F76"/>
      <name val="Calibri"/>
      <family val="2"/>
      <scheme val="minor"/>
    </font>
    <font>
      <b/>
      <sz val="11"/>
      <color rgb="FF3F3F76"/>
      <name val="Calibri"/>
      <family val="2"/>
      <scheme val="minor"/>
    </font>
    <font>
      <sz val="16"/>
      <color theme="1"/>
      <name val="Arial"/>
      <family val="2"/>
    </font>
    <font>
      <b/>
      <sz val="11"/>
      <color theme="1"/>
      <name val="Arial"/>
      <family val="2"/>
    </font>
    <font>
      <b/>
      <sz val="1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9"/>
        <bgColor indexed="64"/>
      </patternFill>
    </fill>
    <fill>
      <patternFill patternType="solid">
        <fgColor indexed="11"/>
        <bgColor indexed="64"/>
      </patternFill>
    </fill>
    <fill>
      <patternFill patternType="solid">
        <fgColor indexed="44"/>
        <bgColor indexed="64"/>
      </patternFill>
    </fill>
    <fill>
      <patternFill patternType="solid">
        <fgColor indexed="31"/>
        <bgColor indexed="64"/>
      </patternFill>
    </fill>
    <fill>
      <patternFill patternType="solid">
        <fgColor indexed="9"/>
        <bgColor indexed="24"/>
      </patternFill>
    </fill>
    <fill>
      <patternFill patternType="solid">
        <fgColor indexed="22"/>
        <bgColor indexed="2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9" tint="0.39997558519241921"/>
        <bgColor indexed="64"/>
      </patternFill>
    </fill>
  </fills>
  <borders count="44">
    <border>
      <left/>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right/>
      <top/>
      <bottom style="thick">
        <color indexed="21"/>
      </bottom>
      <diagonal/>
    </border>
    <border>
      <left/>
      <right style="thin">
        <color indexed="21"/>
      </right>
      <top/>
      <bottom style="thick">
        <color indexed="21"/>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style="thick">
        <color indexed="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2" fillId="0" borderId="0" applyFont="0" applyFill="0" applyBorder="0" applyAlignment="0" applyProtection="0"/>
    <xf numFmtId="0" fontId="10" fillId="13" borderId="27" applyNumberFormat="0" applyAlignment="0" applyProtection="0"/>
  </cellStyleXfs>
  <cellXfs count="165">
    <xf numFmtId="0" fontId="0" fillId="0" borderId="0" xfId="0"/>
    <xf numFmtId="0" fontId="0" fillId="2" borderId="1" xfId="0" applyFill="1" applyBorder="1" applyAlignment="1">
      <alignment horizontal="center" vertical="center"/>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4" fillId="3" borderId="6" xfId="0" applyFont="1" applyFill="1" applyBorder="1"/>
    <xf numFmtId="0" fontId="0" fillId="0" borderId="0" xfId="0" applyAlignment="1">
      <alignment horizontal="center"/>
    </xf>
    <xf numFmtId="0" fontId="0" fillId="0" borderId="0" xfId="0" quotePrefix="1"/>
    <xf numFmtId="0" fontId="0" fillId="0" borderId="10" xfId="0" applyBorder="1"/>
    <xf numFmtId="0" fontId="0" fillId="0" borderId="0" xfId="0" quotePrefix="1" applyAlignment="1">
      <alignment horizontal="center"/>
    </xf>
    <xf numFmtId="0" fontId="0" fillId="4" borderId="0" xfId="0" applyFill="1"/>
    <xf numFmtId="0" fontId="0" fillId="5" borderId="0" xfId="0" applyFill="1"/>
    <xf numFmtId="0" fontId="0" fillId="6" borderId="0" xfId="0" applyFill="1" applyAlignment="1">
      <alignment horizontal="center"/>
    </xf>
    <xf numFmtId="0" fontId="0" fillId="7" borderId="0" xfId="0" applyFill="1" applyAlignment="1">
      <alignment horizont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right"/>
    </xf>
    <xf numFmtId="0" fontId="0" fillId="0" borderId="0" xfId="0" applyAlignment="1">
      <alignment horizontal="right" vertical="center"/>
    </xf>
    <xf numFmtId="0" fontId="5" fillId="0" borderId="0" xfId="0" applyFont="1" applyAlignment="1">
      <alignment horizontal="right" vertical="center"/>
    </xf>
    <xf numFmtId="164" fontId="1" fillId="8" borderId="11" xfId="1" applyFont="1" applyFill="1" applyBorder="1" applyAlignment="1">
      <alignment vertical="center" wrapText="1"/>
    </xf>
    <xf numFmtId="164" fontId="1" fillId="8" borderId="0" xfId="1" applyFont="1" applyFill="1" applyBorder="1" applyAlignment="1">
      <alignment vertical="center" wrapText="1"/>
    </xf>
    <xf numFmtId="164" fontId="1" fillId="8" borderId="12" xfId="1" applyFont="1" applyFill="1" applyBorder="1" applyAlignment="1">
      <alignment vertical="center" wrapText="1"/>
    </xf>
    <xf numFmtId="164" fontId="1" fillId="8" borderId="11" xfId="1" applyFont="1" applyFill="1" applyBorder="1" applyAlignment="1">
      <alignment vertical="top" wrapText="1"/>
    </xf>
    <xf numFmtId="164" fontId="1" fillId="9" borderId="11" xfId="1" applyFont="1" applyFill="1" applyBorder="1" applyAlignment="1">
      <alignment vertical="center" wrapText="1"/>
    </xf>
    <xf numFmtId="164" fontId="1" fillId="9" borderId="0" xfId="1" applyFont="1" applyFill="1" applyBorder="1" applyAlignment="1">
      <alignment vertical="center" wrapText="1"/>
    </xf>
    <xf numFmtId="164" fontId="1" fillId="9" borderId="12" xfId="1" applyFont="1" applyFill="1" applyBorder="1" applyAlignment="1">
      <alignment vertical="center" wrapText="1"/>
    </xf>
    <xf numFmtId="164" fontId="1" fillId="9" borderId="13" xfId="1" applyFont="1" applyFill="1" applyBorder="1" applyAlignment="1">
      <alignment vertical="top" wrapText="1"/>
    </xf>
    <xf numFmtId="164" fontId="1" fillId="9" borderId="14" xfId="1" applyFont="1" applyFill="1" applyBorder="1" applyAlignment="1">
      <alignment vertical="center" wrapText="1"/>
    </xf>
    <xf numFmtId="164" fontId="1" fillId="9" borderId="15" xfId="1" applyFont="1" applyFill="1" applyBorder="1" applyAlignment="1">
      <alignment vertical="center" wrapText="1"/>
    </xf>
    <xf numFmtId="164" fontId="6" fillId="9" borderId="16" xfId="1" applyFont="1" applyFill="1" applyBorder="1" applyAlignment="1">
      <alignment horizontal="center" vertical="center" wrapText="1"/>
    </xf>
    <xf numFmtId="164" fontId="6" fillId="9" borderId="17" xfId="1" applyFont="1" applyFill="1" applyBorder="1" applyAlignment="1">
      <alignment horizontal="center" vertical="center" wrapText="1"/>
    </xf>
    <xf numFmtId="164" fontId="6" fillId="9" borderId="18" xfId="1" applyFont="1" applyFill="1" applyBorder="1" applyAlignment="1">
      <alignment horizontal="center" vertical="center" wrapText="1"/>
    </xf>
    <xf numFmtId="0" fontId="1" fillId="8" borderId="11" xfId="0" applyFont="1" applyFill="1" applyBorder="1" applyAlignment="1">
      <alignment vertical="center" wrapText="1"/>
    </xf>
    <xf numFmtId="0" fontId="1" fillId="8" borderId="0" xfId="0" applyFont="1" applyFill="1" applyBorder="1" applyAlignment="1">
      <alignment vertical="center" wrapText="1"/>
    </xf>
    <xf numFmtId="0" fontId="1" fillId="8" borderId="12" xfId="0" applyFont="1" applyFill="1" applyBorder="1" applyAlignment="1">
      <alignment vertical="center" wrapText="1"/>
    </xf>
    <xf numFmtId="0" fontId="1" fillId="8" borderId="11" xfId="0" applyFont="1" applyFill="1" applyBorder="1" applyAlignment="1">
      <alignment vertical="top" wrapText="1"/>
    </xf>
    <xf numFmtId="0" fontId="1" fillId="9" borderId="11" xfId="0" applyFont="1" applyFill="1" applyBorder="1" applyAlignment="1">
      <alignment vertical="center" wrapText="1"/>
    </xf>
    <xf numFmtId="0" fontId="1" fillId="9" borderId="0" xfId="0" applyFont="1" applyFill="1" applyBorder="1" applyAlignment="1">
      <alignment vertical="center" wrapText="1"/>
    </xf>
    <xf numFmtId="0" fontId="1" fillId="9" borderId="12" xfId="0" applyFont="1" applyFill="1" applyBorder="1" applyAlignment="1">
      <alignment vertical="center" wrapText="1"/>
    </xf>
    <xf numFmtId="0" fontId="1" fillId="9" borderId="13" xfId="0" applyFont="1" applyFill="1" applyBorder="1" applyAlignment="1">
      <alignment vertical="top" wrapText="1"/>
    </xf>
    <xf numFmtId="0" fontId="1" fillId="9" borderId="14" xfId="0" applyFont="1" applyFill="1" applyBorder="1" applyAlignment="1">
      <alignment vertical="center" wrapText="1"/>
    </xf>
    <xf numFmtId="0" fontId="1" fillId="9" borderId="15" xfId="0" applyFont="1" applyFill="1" applyBorder="1" applyAlignment="1">
      <alignment vertical="center" wrapText="1"/>
    </xf>
    <xf numFmtId="0" fontId="6" fillId="9" borderId="16"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0" fillId="0" borderId="19" xfId="0" applyBorder="1" applyAlignment="1"/>
    <xf numFmtId="0" fontId="0" fillId="0" borderId="0" xfId="0" applyAlignment="1"/>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0" borderId="0" xfId="0" applyAlignment="1">
      <alignment horizontal="left"/>
    </xf>
    <xf numFmtId="0" fontId="0" fillId="14" borderId="3" xfId="0" applyFill="1" applyBorder="1"/>
    <xf numFmtId="0" fontId="0" fillId="14" borderId="4" xfId="0" applyFill="1" applyBorder="1"/>
    <xf numFmtId="0" fontId="0" fillId="14" borderId="5" xfId="0" applyFill="1" applyBorder="1"/>
    <xf numFmtId="0" fontId="0" fillId="14" borderId="0" xfId="0" applyFill="1" applyBorder="1"/>
    <xf numFmtId="0" fontId="0" fillId="14" borderId="6" xfId="0" applyFill="1" applyBorder="1"/>
    <xf numFmtId="0" fontId="0" fillId="14" borderId="7" xfId="0" applyFill="1" applyBorder="1"/>
    <xf numFmtId="0" fontId="0" fillId="14" borderId="8" xfId="0" applyFill="1" applyBorder="1"/>
    <xf numFmtId="0" fontId="0" fillId="14" borderId="9" xfId="0" applyFill="1" applyBorder="1"/>
    <xf numFmtId="0" fontId="13" fillId="13" borderId="28" xfId="2" applyFont="1" applyBorder="1" applyAlignment="1">
      <alignment horizontal="center" vertical="center"/>
    </xf>
    <xf numFmtId="0" fontId="10" fillId="13" borderId="28" xfId="2" applyBorder="1" applyAlignment="1">
      <alignment horizontal="center" vertical="center"/>
    </xf>
    <xf numFmtId="0" fontId="13" fillId="13" borderId="30" xfId="2" applyFont="1"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3" fillId="13" borderId="38" xfId="2" applyFont="1" applyBorder="1" applyAlignment="1">
      <alignment horizontal="center" vertical="center"/>
    </xf>
    <xf numFmtId="0" fontId="0" fillId="14" borderId="40" xfId="0" applyFill="1" applyBorder="1"/>
    <xf numFmtId="0" fontId="0" fillId="14" borderId="25" xfId="0" applyFill="1" applyBorder="1"/>
    <xf numFmtId="0" fontId="0" fillId="14" borderId="24" xfId="0" applyFill="1" applyBorder="1"/>
    <xf numFmtId="0" fontId="11" fillId="14" borderId="24" xfId="0" applyFont="1" applyFill="1" applyBorder="1" applyAlignment="1">
      <alignment horizontal="left" vertical="center"/>
    </xf>
    <xf numFmtId="0" fontId="0" fillId="0" borderId="0" xfId="0" applyFill="1" applyBorder="1"/>
    <xf numFmtId="0" fontId="0" fillId="0" borderId="0" xfId="0" applyAlignment="1">
      <alignment horizontal="center" vertical="center"/>
    </xf>
    <xf numFmtId="0" fontId="14" fillId="14" borderId="25" xfId="0" applyFont="1" applyFill="1" applyBorder="1" applyAlignment="1">
      <alignment horizontal="right" vertical="center"/>
    </xf>
    <xf numFmtId="0" fontId="0" fillId="0" borderId="0" xfId="0" applyAlignment="1">
      <alignment horizontal="left" vertical="center"/>
    </xf>
    <xf numFmtId="0" fontId="15" fillId="0" borderId="0" xfId="0" applyFont="1" applyAlignment="1">
      <alignment horizontal="center" vertical="center"/>
    </xf>
    <xf numFmtId="0" fontId="15" fillId="0" borderId="41" xfId="0" applyFont="1" applyBorder="1" applyAlignment="1">
      <alignment horizontal="center" vertical="center"/>
    </xf>
    <xf numFmtId="0" fontId="11" fillId="14" borderId="2" xfId="0" applyFont="1" applyFill="1" applyBorder="1" applyAlignment="1">
      <alignment vertical="center"/>
    </xf>
    <xf numFmtId="0" fontId="0" fillId="14" borderId="3" xfId="0" applyFill="1" applyBorder="1" applyAlignment="1">
      <alignment vertical="center"/>
    </xf>
    <xf numFmtId="0" fontId="0" fillId="14" borderId="4" xfId="0" applyFill="1" applyBorder="1" applyAlignment="1">
      <alignment vertical="center"/>
    </xf>
    <xf numFmtId="0" fontId="0" fillId="14" borderId="7" xfId="0" applyFill="1" applyBorder="1" applyAlignment="1">
      <alignment vertical="center"/>
    </xf>
    <xf numFmtId="0" fontId="0" fillId="14" borderId="8" xfId="0" applyFill="1" applyBorder="1" applyAlignment="1">
      <alignment horizontal="right" vertical="center"/>
    </xf>
    <xf numFmtId="0" fontId="0" fillId="14" borderId="9" xfId="0" applyFill="1" applyBorder="1" applyAlignment="1">
      <alignment vertical="center"/>
    </xf>
    <xf numFmtId="0" fontId="11" fillId="14" borderId="5" xfId="0" applyFont="1" applyFill="1" applyBorder="1" applyAlignment="1">
      <alignment vertical="center"/>
    </xf>
    <xf numFmtId="0" fontId="0" fillId="14" borderId="0" xfId="0" applyFill="1" applyBorder="1" applyAlignment="1">
      <alignment vertical="center"/>
    </xf>
    <xf numFmtId="0" fontId="0" fillId="14" borderId="6" xfId="0" applyFill="1" applyBorder="1" applyAlignment="1">
      <alignment vertical="center"/>
    </xf>
    <xf numFmtId="0" fontId="0" fillId="14" borderId="5" xfId="0" applyFill="1" applyBorder="1" applyAlignment="1">
      <alignment vertical="center"/>
    </xf>
    <xf numFmtId="0" fontId="0" fillId="14" borderId="8" xfId="0" applyFill="1" applyBorder="1" applyAlignment="1">
      <alignment vertical="center"/>
    </xf>
    <xf numFmtId="0" fontId="0" fillId="0" borderId="0" xfId="0" applyFill="1" applyBorder="1" applyAlignment="1">
      <alignment vertical="center"/>
    </xf>
    <xf numFmtId="0" fontId="0" fillId="14" borderId="9" xfId="0" applyFill="1" applyBorder="1" applyAlignment="1">
      <alignment horizontal="left" vertical="center"/>
    </xf>
    <xf numFmtId="0" fontId="0" fillId="14" borderId="2" xfId="0" applyFill="1" applyBorder="1"/>
    <xf numFmtId="0" fontId="0" fillId="15" borderId="0" xfId="0" applyFill="1" applyBorder="1"/>
    <xf numFmtId="0" fontId="0" fillId="15" borderId="6" xfId="0" applyFill="1" applyBorder="1"/>
    <xf numFmtId="0" fontId="0" fillId="15" borderId="8" xfId="0" applyFill="1" applyBorder="1"/>
    <xf numFmtId="0" fontId="11" fillId="14" borderId="3" xfId="0" applyFont="1" applyFill="1" applyBorder="1" applyAlignment="1">
      <alignment horizontal="center" vertical="center"/>
    </xf>
    <xf numFmtId="0" fontId="11" fillId="14" borderId="4" xfId="0" applyFont="1" applyFill="1" applyBorder="1" applyAlignment="1">
      <alignment horizontal="center" vertical="center"/>
    </xf>
    <xf numFmtId="0" fontId="15" fillId="14" borderId="5" xfId="0" applyFont="1" applyFill="1" applyBorder="1" applyAlignment="1">
      <alignment horizontal="right" vertical="center"/>
    </xf>
    <xf numFmtId="0" fontId="15" fillId="14" borderId="7" xfId="0" applyFont="1" applyFill="1" applyBorder="1" applyAlignment="1">
      <alignment horizontal="right" vertical="center"/>
    </xf>
    <xf numFmtId="0" fontId="0" fillId="16" borderId="2" xfId="0" applyFill="1" applyBorder="1"/>
    <xf numFmtId="0" fontId="0" fillId="16" borderId="3" xfId="0" applyFill="1" applyBorder="1"/>
    <xf numFmtId="0" fontId="0" fillId="16" borderId="4" xfId="0" applyFill="1" applyBorder="1"/>
    <xf numFmtId="0" fontId="0" fillId="16" borderId="5" xfId="0" applyFill="1" applyBorder="1"/>
    <xf numFmtId="0" fontId="0" fillId="16" borderId="0" xfId="0" applyFill="1" applyBorder="1"/>
    <xf numFmtId="0" fontId="0" fillId="16" borderId="6" xfId="0" applyFill="1" applyBorder="1"/>
    <xf numFmtId="0" fontId="0" fillId="16" borderId="7" xfId="0" applyFill="1" applyBorder="1"/>
    <xf numFmtId="0" fontId="0" fillId="16" borderId="8" xfId="0" applyFill="1" applyBorder="1"/>
    <xf numFmtId="0" fontId="0" fillId="16" borderId="9" xfId="0" applyFill="1" applyBorder="1"/>
    <xf numFmtId="0" fontId="10" fillId="14" borderId="29" xfId="2" applyFill="1" applyBorder="1" applyAlignment="1">
      <alignment vertical="center"/>
    </xf>
    <xf numFmtId="0" fontId="10" fillId="14" borderId="39" xfId="2" applyFill="1" applyBorder="1" applyAlignment="1">
      <alignment vertical="center"/>
    </xf>
    <xf numFmtId="0" fontId="10" fillId="14" borderId="31" xfId="2" applyFill="1" applyBorder="1" applyAlignment="1">
      <alignment vertical="center"/>
    </xf>
    <xf numFmtId="0" fontId="0" fillId="17" borderId="10" xfId="0" applyFill="1" applyBorder="1"/>
    <xf numFmtId="0" fontId="11" fillId="14" borderId="32" xfId="0" applyFont="1" applyFill="1" applyBorder="1"/>
    <xf numFmtId="0" fontId="0" fillId="14" borderId="42" xfId="0" applyFill="1" applyBorder="1"/>
    <xf numFmtId="0" fontId="0" fillId="14" borderId="33" xfId="0" applyFill="1" applyBorder="1"/>
    <xf numFmtId="0" fontId="0" fillId="14" borderId="34" xfId="0" applyFill="1" applyBorder="1"/>
    <xf numFmtId="0" fontId="0" fillId="14" borderId="35" xfId="0" quotePrefix="1" applyFill="1" applyBorder="1"/>
    <xf numFmtId="0" fontId="0" fillId="14" borderId="35" xfId="0" applyFill="1" applyBorder="1"/>
    <xf numFmtId="0" fontId="0" fillId="14" borderId="36" xfId="0" applyFill="1" applyBorder="1"/>
    <xf numFmtId="0" fontId="0" fillId="17" borderId="43" xfId="0" applyFill="1" applyBorder="1"/>
    <xf numFmtId="0" fontId="0" fillId="14" borderId="37" xfId="0" applyFill="1" applyBorder="1"/>
    <xf numFmtId="0" fontId="0" fillId="15" borderId="9" xfId="0" applyFill="1" applyBorder="1" applyAlignment="1">
      <alignment horizontal="center" vertical="center"/>
    </xf>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2" borderId="23" xfId="0" applyFill="1" applyBorder="1" applyAlignment="1" applyProtection="1">
      <alignment horizontal="left" vertical="center" wrapText="1"/>
      <protection locked="0"/>
    </xf>
    <xf numFmtId="0" fontId="0" fillId="2" borderId="0" xfId="0" applyFill="1" applyBorder="1" applyAlignment="1" applyProtection="1">
      <alignment horizontal="left" vertical="center" wrapText="1"/>
      <protection locked="0"/>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0"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0" fillId="3" borderId="26" xfId="0" applyFill="1" applyBorder="1" applyAlignment="1">
      <alignment horizont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1" fillId="14" borderId="32" xfId="0" applyFont="1" applyFill="1" applyBorder="1" applyAlignment="1">
      <alignment horizontal="center" vertical="center"/>
    </xf>
    <xf numFmtId="0" fontId="11" fillId="14" borderId="33" xfId="0" applyFont="1" applyFill="1" applyBorder="1" applyAlignment="1">
      <alignment horizontal="center" vertical="center"/>
    </xf>
    <xf numFmtId="0" fontId="16" fillId="16" borderId="5" xfId="0" applyFont="1" applyFill="1" applyBorder="1" applyAlignment="1">
      <alignment horizontal="center" vertical="center"/>
    </xf>
    <xf numFmtId="0" fontId="16" fillId="16" borderId="0" xfId="0" applyFont="1" applyFill="1" applyBorder="1" applyAlignment="1">
      <alignment horizontal="center" vertical="center"/>
    </xf>
    <xf numFmtId="0" fontId="16" fillId="16" borderId="6" xfId="0" applyFont="1" applyFill="1" applyBorder="1" applyAlignment="1">
      <alignment horizontal="center" vertical="center"/>
    </xf>
    <xf numFmtId="0" fontId="12" fillId="14" borderId="32" xfId="2" applyFont="1" applyFill="1" applyBorder="1" applyAlignment="1">
      <alignment horizontal="center" vertical="center"/>
    </xf>
    <xf numFmtId="0" fontId="12" fillId="14" borderId="33" xfId="2" applyFont="1" applyFill="1" applyBorder="1" applyAlignment="1">
      <alignment horizontal="center" vertical="center"/>
    </xf>
    <xf numFmtId="0" fontId="12" fillId="14" borderId="32" xfId="2" applyFont="1" applyFill="1" applyBorder="1" applyAlignment="1">
      <alignment horizontal="center"/>
    </xf>
    <xf numFmtId="0" fontId="12" fillId="14" borderId="33" xfId="2" applyFont="1" applyFill="1" applyBorder="1" applyAlignment="1">
      <alignment horizontal="center"/>
    </xf>
    <xf numFmtId="0" fontId="0" fillId="12" borderId="0" xfId="0" applyFill="1" applyAlignment="1">
      <alignment horizontal="center"/>
    </xf>
    <xf numFmtId="0" fontId="0" fillId="0" borderId="0" xfId="0" applyAlignment="1">
      <alignment horizontal="center" vertical="center" wrapText="1"/>
    </xf>
    <xf numFmtId="0" fontId="0" fillId="11" borderId="0" xfId="0" quotePrefix="1" applyFill="1" applyAlignment="1">
      <alignment horizontal="center"/>
    </xf>
    <xf numFmtId="0" fontId="0" fillId="10" borderId="0" xfId="0" quotePrefix="1" applyFill="1" applyAlignment="1">
      <alignment horizontal="center"/>
    </xf>
    <xf numFmtId="0" fontId="0" fillId="10" borderId="0" xfId="0" quotePrefix="1" applyFill="1" applyBorder="1" applyAlignment="1">
      <alignment horizontal="center"/>
    </xf>
    <xf numFmtId="0" fontId="0" fillId="12" borderId="0" xfId="0" quotePrefix="1" applyFill="1" applyAlignment="1">
      <alignment horizontal="center"/>
    </xf>
    <xf numFmtId="0" fontId="0" fillId="10" borderId="0" xfId="0" applyFill="1" applyAlignment="1">
      <alignment horizontal="center"/>
    </xf>
    <xf numFmtId="0" fontId="0" fillId="2" borderId="0" xfId="0" quotePrefix="1" applyFill="1" applyAlignment="1">
      <alignment horizontal="center"/>
    </xf>
    <xf numFmtId="0" fontId="0" fillId="11" borderId="0" xfId="0" applyFill="1" applyBorder="1" applyAlignment="1">
      <alignment horizontal="center"/>
    </xf>
    <xf numFmtId="0" fontId="0" fillId="2" borderId="0" xfId="0" applyFill="1" applyAlignment="1">
      <alignment horizontal="center"/>
    </xf>
  </cellXfs>
  <cellStyles count="3">
    <cellStyle name="Currency" xfId="1" builtinId="4"/>
    <cellStyle name="Input" xfId="2" builtinId="20"/>
    <cellStyle name="Normal" xfId="0" builtinId="0"/>
  </cellStyles>
  <dxfs count="30">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right" vertical="center" textRotation="0" wrapText="0" indent="0" justifyLastLine="0" shrinkToFit="0" readingOrder="0"/>
    </dxf>
    <dxf>
      <alignment horizontal="general" vertical="center" textRotation="0" indent="0" justifyLastLine="0" shrinkToFit="0" readingOrder="0"/>
    </dxf>
    <dxf>
      <fill>
        <patternFill patternType="solid">
          <fgColor indexed="64"/>
          <bgColor indexed="42"/>
        </patternFill>
      </fill>
      <border diagonalUp="0" diagonalDown="0" outline="0">
        <left/>
        <right/>
        <top style="thin">
          <color indexed="64"/>
        </top>
        <bottom style="thin">
          <color indexed="64"/>
        </bottom>
      </border>
    </dxf>
    <dxf>
      <fill>
        <patternFill patternType="solid">
          <fgColor indexed="64"/>
          <bgColor indexed="42"/>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fill>
        <patternFill>
          <bgColor indexed="12"/>
        </patternFill>
      </fill>
    </dxf>
    <dxf>
      <fill>
        <patternFill>
          <bgColor indexed="12"/>
        </patternFill>
      </fill>
    </dxf>
  </dxfs>
  <tableStyles count="0" defaultTableStyle="TableStyleMedium2" defaultPivotStyle="PivotStyleLight16"/>
  <colors>
    <mruColors>
      <color rgb="FFFFFF1E"/>
      <color rgb="FFFF1EFF"/>
      <color rgb="FFFF1E1E"/>
      <color rgb="FF1EFFFF"/>
      <color rgb="FF1EFF1E"/>
      <color rgb="FF1E1EFF"/>
      <color rgb="FF000080"/>
      <color rgb="FF0000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18" Type="http://schemas.openxmlformats.org/officeDocument/2006/relationships/image" Target="../media/image24.emf"/><Relationship Id="rId26" Type="http://schemas.openxmlformats.org/officeDocument/2006/relationships/image" Target="../media/image5.emf"/><Relationship Id="rId3" Type="http://schemas.openxmlformats.org/officeDocument/2006/relationships/image" Target="../media/image9.emf"/><Relationship Id="rId21" Type="http://schemas.openxmlformats.org/officeDocument/2006/relationships/image" Target="../media/image27.emf"/><Relationship Id="rId7" Type="http://schemas.openxmlformats.org/officeDocument/2006/relationships/image" Target="../media/image13.emf"/><Relationship Id="rId12" Type="http://schemas.openxmlformats.org/officeDocument/2006/relationships/image" Target="../media/image18.emf"/><Relationship Id="rId17" Type="http://schemas.openxmlformats.org/officeDocument/2006/relationships/image" Target="../media/image23.emf"/><Relationship Id="rId25" Type="http://schemas.openxmlformats.org/officeDocument/2006/relationships/image" Target="../media/image6.emf"/><Relationship Id="rId2" Type="http://schemas.openxmlformats.org/officeDocument/2006/relationships/image" Target="../media/image8.emf"/><Relationship Id="rId16" Type="http://schemas.openxmlformats.org/officeDocument/2006/relationships/image" Target="../media/image22.emf"/><Relationship Id="rId20" Type="http://schemas.openxmlformats.org/officeDocument/2006/relationships/image" Target="../media/image26.emf"/><Relationship Id="rId29" Type="http://schemas.openxmlformats.org/officeDocument/2006/relationships/image" Target="../media/image2.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24" Type="http://schemas.openxmlformats.org/officeDocument/2006/relationships/image" Target="../media/image30.emf"/><Relationship Id="rId5" Type="http://schemas.openxmlformats.org/officeDocument/2006/relationships/image" Target="../media/image11.emf"/><Relationship Id="rId15" Type="http://schemas.openxmlformats.org/officeDocument/2006/relationships/image" Target="../media/image21.emf"/><Relationship Id="rId23" Type="http://schemas.openxmlformats.org/officeDocument/2006/relationships/image" Target="../media/image29.emf"/><Relationship Id="rId28" Type="http://schemas.openxmlformats.org/officeDocument/2006/relationships/image" Target="../media/image3.emf"/><Relationship Id="rId10" Type="http://schemas.openxmlformats.org/officeDocument/2006/relationships/image" Target="../media/image16.emf"/><Relationship Id="rId19" Type="http://schemas.openxmlformats.org/officeDocument/2006/relationships/image" Target="../media/image25.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 Id="rId22" Type="http://schemas.openxmlformats.org/officeDocument/2006/relationships/image" Target="../media/image28.emf"/><Relationship Id="rId27" Type="http://schemas.openxmlformats.org/officeDocument/2006/relationships/image" Target="../media/image4.emf"/><Relationship Id="rId30"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49.emf"/><Relationship Id="rId18" Type="http://schemas.openxmlformats.org/officeDocument/2006/relationships/image" Target="../media/image44.emf"/><Relationship Id="rId26" Type="http://schemas.openxmlformats.org/officeDocument/2006/relationships/image" Target="../media/image36.emf"/><Relationship Id="rId3" Type="http://schemas.openxmlformats.org/officeDocument/2006/relationships/image" Target="../media/image55.emf"/><Relationship Id="rId21" Type="http://schemas.openxmlformats.org/officeDocument/2006/relationships/image" Target="../media/image41.emf"/><Relationship Id="rId34" Type="http://schemas.openxmlformats.org/officeDocument/2006/relationships/image" Target="../media/image32.emf"/><Relationship Id="rId7" Type="http://schemas.openxmlformats.org/officeDocument/2006/relationships/image" Target="../media/image52.emf"/><Relationship Id="rId12" Type="http://schemas.openxmlformats.org/officeDocument/2006/relationships/image" Target="../media/image50.emf"/><Relationship Id="rId17" Type="http://schemas.openxmlformats.org/officeDocument/2006/relationships/image" Target="../media/image45.emf"/><Relationship Id="rId25" Type="http://schemas.openxmlformats.org/officeDocument/2006/relationships/image" Target="../media/image37.emf"/><Relationship Id="rId33" Type="http://schemas.openxmlformats.org/officeDocument/2006/relationships/image" Target="../media/image33.emf"/><Relationship Id="rId38" Type="http://schemas.openxmlformats.org/officeDocument/2006/relationships/image" Target="../media/image68.emf"/><Relationship Id="rId2" Type="http://schemas.openxmlformats.org/officeDocument/2006/relationships/image" Target="../media/image56.emf"/><Relationship Id="rId16" Type="http://schemas.openxmlformats.org/officeDocument/2006/relationships/image" Target="../media/image46.emf"/><Relationship Id="rId20" Type="http://schemas.openxmlformats.org/officeDocument/2006/relationships/image" Target="../media/image42.emf"/><Relationship Id="rId29" Type="http://schemas.openxmlformats.org/officeDocument/2006/relationships/image" Target="../media/image62.emf"/><Relationship Id="rId1" Type="http://schemas.openxmlformats.org/officeDocument/2006/relationships/image" Target="../media/image57.emf"/><Relationship Id="rId6" Type="http://schemas.openxmlformats.org/officeDocument/2006/relationships/image" Target="../media/image58.emf"/><Relationship Id="rId11" Type="http://schemas.openxmlformats.org/officeDocument/2006/relationships/image" Target="../media/image61.emf"/><Relationship Id="rId24" Type="http://schemas.openxmlformats.org/officeDocument/2006/relationships/image" Target="../media/image38.emf"/><Relationship Id="rId32" Type="http://schemas.openxmlformats.org/officeDocument/2006/relationships/image" Target="../media/image65.emf"/><Relationship Id="rId37" Type="http://schemas.openxmlformats.org/officeDocument/2006/relationships/image" Target="../media/image67.emf"/><Relationship Id="rId5" Type="http://schemas.openxmlformats.org/officeDocument/2006/relationships/image" Target="../media/image53.emf"/><Relationship Id="rId15" Type="http://schemas.openxmlformats.org/officeDocument/2006/relationships/image" Target="../media/image47.emf"/><Relationship Id="rId23" Type="http://schemas.openxmlformats.org/officeDocument/2006/relationships/image" Target="../media/image39.emf"/><Relationship Id="rId28" Type="http://schemas.openxmlformats.org/officeDocument/2006/relationships/image" Target="../media/image34.emf"/><Relationship Id="rId36" Type="http://schemas.openxmlformats.org/officeDocument/2006/relationships/image" Target="../media/image66.emf"/><Relationship Id="rId10" Type="http://schemas.openxmlformats.org/officeDocument/2006/relationships/image" Target="../media/image60.emf"/><Relationship Id="rId19" Type="http://schemas.openxmlformats.org/officeDocument/2006/relationships/image" Target="../media/image43.emf"/><Relationship Id="rId31" Type="http://schemas.openxmlformats.org/officeDocument/2006/relationships/image" Target="../media/image64.emf"/><Relationship Id="rId4" Type="http://schemas.openxmlformats.org/officeDocument/2006/relationships/image" Target="../media/image54.emf"/><Relationship Id="rId9" Type="http://schemas.openxmlformats.org/officeDocument/2006/relationships/image" Target="../media/image59.emf"/><Relationship Id="rId14" Type="http://schemas.openxmlformats.org/officeDocument/2006/relationships/image" Target="../media/image48.emf"/><Relationship Id="rId22" Type="http://schemas.openxmlformats.org/officeDocument/2006/relationships/image" Target="../media/image40.emf"/><Relationship Id="rId27" Type="http://schemas.openxmlformats.org/officeDocument/2006/relationships/image" Target="../media/image35.emf"/><Relationship Id="rId30" Type="http://schemas.openxmlformats.org/officeDocument/2006/relationships/image" Target="../media/image63.emf"/><Relationship Id="rId35" Type="http://schemas.openxmlformats.org/officeDocument/2006/relationships/image" Target="../media/image3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 Id="rId4"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266700</xdr:colOff>
          <xdr:row>14</xdr:row>
          <xdr:rowOff>85725</xdr:rowOff>
        </xdr:from>
        <xdr:to>
          <xdr:col>7</xdr:col>
          <xdr:colOff>57150</xdr:colOff>
          <xdr:row>16</xdr:row>
          <xdr:rowOff>28575</xdr:rowOff>
        </xdr:to>
        <xdr:sp macro="" textlink="">
          <xdr:nvSpPr>
            <xdr:cNvPr id="1209" name="BtnLeft"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14</xdr:row>
          <xdr:rowOff>85725</xdr:rowOff>
        </xdr:from>
        <xdr:to>
          <xdr:col>7</xdr:col>
          <xdr:colOff>657225</xdr:colOff>
          <xdr:row>16</xdr:row>
          <xdr:rowOff>28575</xdr:rowOff>
        </xdr:to>
        <xdr:sp macro="" textlink="">
          <xdr:nvSpPr>
            <xdr:cNvPr id="1210" name="BtnRight"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7</xdr:col>
          <xdr:colOff>647700</xdr:colOff>
          <xdr:row>17</xdr:row>
          <xdr:rowOff>161925</xdr:rowOff>
        </xdr:to>
        <xdr:sp macro="" textlink="">
          <xdr:nvSpPr>
            <xdr:cNvPr id="1211" name="BtnDown"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123825</xdr:rowOff>
        </xdr:from>
        <xdr:to>
          <xdr:col>7</xdr:col>
          <xdr:colOff>647700</xdr:colOff>
          <xdr:row>14</xdr:row>
          <xdr:rowOff>66675</xdr:rowOff>
        </xdr:to>
        <xdr:sp macro="" textlink="">
          <xdr:nvSpPr>
            <xdr:cNvPr id="1212" name="BtnUp"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13</xdr:row>
          <xdr:rowOff>38100</xdr:rowOff>
        </xdr:from>
        <xdr:to>
          <xdr:col>4</xdr:col>
          <xdr:colOff>133350</xdr:colOff>
          <xdr:row>14</xdr:row>
          <xdr:rowOff>161925</xdr:rowOff>
        </xdr:to>
        <xdr:sp macro="" textlink="">
          <xdr:nvSpPr>
            <xdr:cNvPr id="1213" name="BtnFill"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38100</xdr:rowOff>
        </xdr:from>
        <xdr:to>
          <xdr:col>5</xdr:col>
          <xdr:colOff>257175</xdr:colOff>
          <xdr:row>14</xdr:row>
          <xdr:rowOff>161925</xdr:rowOff>
        </xdr:to>
        <xdr:sp macro="" textlink="">
          <xdr:nvSpPr>
            <xdr:cNvPr id="1214" name="BtnErase"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10</xdr:row>
          <xdr:rowOff>133350</xdr:rowOff>
        </xdr:from>
        <xdr:to>
          <xdr:col>2</xdr:col>
          <xdr:colOff>552450</xdr:colOff>
          <xdr:row>12</xdr:row>
          <xdr:rowOff>28575</xdr:rowOff>
        </xdr:to>
        <xdr:sp macro="" textlink="">
          <xdr:nvSpPr>
            <xdr:cNvPr id="1215" name="CbHighRes"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xdr:row>
          <xdr:rowOff>28575</xdr:rowOff>
        </xdr:from>
        <xdr:to>
          <xdr:col>8</xdr:col>
          <xdr:colOff>666750</xdr:colOff>
          <xdr:row>15</xdr:row>
          <xdr:rowOff>66675</xdr:rowOff>
        </xdr:to>
        <xdr:sp macro="" textlink="">
          <xdr:nvSpPr>
            <xdr:cNvPr id="1216" name="CbFill"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12</xdr:row>
          <xdr:rowOff>152400</xdr:rowOff>
        </xdr:from>
        <xdr:to>
          <xdr:col>8</xdr:col>
          <xdr:colOff>676275</xdr:colOff>
          <xdr:row>14</xdr:row>
          <xdr:rowOff>47625</xdr:rowOff>
        </xdr:to>
        <xdr:sp macro="" textlink="">
          <xdr:nvSpPr>
            <xdr:cNvPr id="1217" name="CbRotate"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114300</xdr:rowOff>
        </xdr:from>
        <xdr:to>
          <xdr:col>14</xdr:col>
          <xdr:colOff>38100</xdr:colOff>
          <xdr:row>38</xdr:row>
          <xdr:rowOff>95250</xdr:rowOff>
        </xdr:to>
        <xdr:sp macro="" textlink="">
          <xdr:nvSpPr>
            <xdr:cNvPr id="5754" name="AllCommands" hidden="1">
              <a:extLst>
                <a:ext uri="{63B3BB69-23CF-44E3-9099-C40C66FF867C}">
                  <a14:compatExt spid="_x0000_s5754"/>
                </a:ext>
                <a:ext uri="{FF2B5EF4-FFF2-40B4-BE49-F238E27FC236}">
                  <a16:creationId xmlns:a16="http://schemas.microsoft.com/office/drawing/2014/main" id="{00000000-0008-0000-0000-00007A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12</xdr:row>
          <xdr:rowOff>142875</xdr:rowOff>
        </xdr:from>
        <xdr:to>
          <xdr:col>13</xdr:col>
          <xdr:colOff>352425</xdr:colOff>
          <xdr:row>14</xdr:row>
          <xdr:rowOff>38100</xdr:rowOff>
        </xdr:to>
        <xdr:sp macro="" textlink="">
          <xdr:nvSpPr>
            <xdr:cNvPr id="5755" name="CbAutoAdd" hidden="1">
              <a:extLst>
                <a:ext uri="{63B3BB69-23CF-44E3-9099-C40C66FF867C}">
                  <a14:compatExt spid="_x0000_s5755"/>
                </a:ext>
                <a:ext uri="{FF2B5EF4-FFF2-40B4-BE49-F238E27FC236}">
                  <a16:creationId xmlns:a16="http://schemas.microsoft.com/office/drawing/2014/main" id="{00000000-0008-0000-0000-00007B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12</xdr:row>
          <xdr:rowOff>114300</xdr:rowOff>
        </xdr:from>
        <xdr:to>
          <xdr:col>15</xdr:col>
          <xdr:colOff>142875</xdr:colOff>
          <xdr:row>14</xdr:row>
          <xdr:rowOff>57150</xdr:rowOff>
        </xdr:to>
        <xdr:sp macro="" textlink="">
          <xdr:nvSpPr>
            <xdr:cNvPr id="5756" name="BtnAdd" hidden="1">
              <a:extLst>
                <a:ext uri="{63B3BB69-23CF-44E3-9099-C40C66FF867C}">
                  <a14:compatExt spid="_x0000_s5756"/>
                </a:ext>
                <a:ext uri="{FF2B5EF4-FFF2-40B4-BE49-F238E27FC236}">
                  <a16:creationId xmlns:a16="http://schemas.microsoft.com/office/drawing/2014/main" id="{00000000-0008-0000-0000-00007C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609600</xdr:colOff>
      <xdr:row>10</xdr:row>
      <xdr:rowOff>114300</xdr:rowOff>
    </xdr:from>
    <xdr:to>
      <xdr:col>2</xdr:col>
      <xdr:colOff>609600</xdr:colOff>
      <xdr:row>19</xdr:row>
      <xdr:rowOff>142875</xdr:rowOff>
    </xdr:to>
    <xdr:sp macro="" textlink="">
      <xdr:nvSpPr>
        <xdr:cNvPr id="91646" name="Line 3856">
          <a:extLst>
            <a:ext uri="{FF2B5EF4-FFF2-40B4-BE49-F238E27FC236}">
              <a16:creationId xmlns:a16="http://schemas.microsoft.com/office/drawing/2014/main" id="{00000000-0008-0000-0000-0000FE650100}"/>
            </a:ext>
          </a:extLst>
        </xdr:cNvPr>
        <xdr:cNvSpPr>
          <a:spLocks noChangeShapeType="1"/>
        </xdr:cNvSpPr>
      </xdr:nvSpPr>
      <xdr:spPr bwMode="auto">
        <a:xfrm>
          <a:off x="1981200" y="228600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123825</xdr:colOff>
      <xdr:row>10</xdr:row>
      <xdr:rowOff>133350</xdr:rowOff>
    </xdr:from>
    <xdr:to>
      <xdr:col>6</xdr:col>
      <xdr:colOff>123825</xdr:colOff>
      <xdr:row>19</xdr:row>
      <xdr:rowOff>161925</xdr:rowOff>
    </xdr:to>
    <xdr:sp macro="" textlink="">
      <xdr:nvSpPr>
        <xdr:cNvPr id="91647" name="Line 3857">
          <a:extLst>
            <a:ext uri="{FF2B5EF4-FFF2-40B4-BE49-F238E27FC236}">
              <a16:creationId xmlns:a16="http://schemas.microsoft.com/office/drawing/2014/main" id="{00000000-0008-0000-0000-0000FF650100}"/>
            </a:ext>
          </a:extLst>
        </xdr:cNvPr>
        <xdr:cNvSpPr>
          <a:spLocks noChangeShapeType="1"/>
        </xdr:cNvSpPr>
      </xdr:nvSpPr>
      <xdr:spPr bwMode="auto">
        <a:xfrm>
          <a:off x="4238625" y="230505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48" name="Line 3858">
          <a:extLst>
            <a:ext uri="{FF2B5EF4-FFF2-40B4-BE49-F238E27FC236}">
              <a16:creationId xmlns:a16="http://schemas.microsoft.com/office/drawing/2014/main" id="{00000000-0008-0000-0000-000000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295275</xdr:colOff>
      <xdr:row>10</xdr:row>
      <xdr:rowOff>161925</xdr:rowOff>
    </xdr:from>
    <xdr:ext cx="732060" cy="185307"/>
    <xdr:sp macro="" textlink="">
      <xdr:nvSpPr>
        <xdr:cNvPr id="6932" name="Text Box 3860">
          <a:extLst>
            <a:ext uri="{FF2B5EF4-FFF2-40B4-BE49-F238E27FC236}">
              <a16:creationId xmlns:a16="http://schemas.microsoft.com/office/drawing/2014/main" id="{00000000-0008-0000-0000-0000141B0000}"/>
            </a:ext>
          </a:extLst>
        </xdr:cNvPr>
        <xdr:cNvSpPr txBox="1">
          <a:spLocks noChangeArrowheads="1"/>
        </xdr:cNvSpPr>
      </xdr:nvSpPr>
      <xdr:spPr bwMode="auto">
        <a:xfrm>
          <a:off x="295275" y="2333625"/>
          <a:ext cx="732060"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Dalek Type</a:t>
          </a:r>
        </a:p>
      </xdr:txBody>
    </xdr:sp>
    <xdr:clientData/>
  </xdr:oneCellAnchor>
  <xdr:twoCellAnchor editAs="oneCell">
    <xdr:from>
      <xdr:col>15</xdr:col>
      <xdr:colOff>76200</xdr:colOff>
      <xdr:row>23</xdr:row>
      <xdr:rowOff>161925</xdr:rowOff>
    </xdr:from>
    <xdr:to>
      <xdr:col>15</xdr:col>
      <xdr:colOff>152400</xdr:colOff>
      <xdr:row>25</xdr:row>
      <xdr:rowOff>19050</xdr:rowOff>
    </xdr:to>
    <xdr:sp macro="" textlink="">
      <xdr:nvSpPr>
        <xdr:cNvPr id="91651" name="Text Box 3862">
          <a:extLst>
            <a:ext uri="{FF2B5EF4-FFF2-40B4-BE49-F238E27FC236}">
              <a16:creationId xmlns:a16="http://schemas.microsoft.com/office/drawing/2014/main" id="{00000000-0008-0000-0000-000003660100}"/>
            </a:ext>
          </a:extLst>
        </xdr:cNvPr>
        <xdr:cNvSpPr txBox="1">
          <a:spLocks noChangeArrowheads="1"/>
        </xdr:cNvSpPr>
      </xdr:nvSpPr>
      <xdr:spPr bwMode="auto">
        <a:xfrm>
          <a:off x="10363200" y="4695825"/>
          <a:ext cx="762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3</xdr:col>
      <xdr:colOff>133350</xdr:colOff>
      <xdr:row>11</xdr:row>
      <xdr:rowOff>66675</xdr:rowOff>
    </xdr:from>
    <xdr:ext cx="1586909" cy="185307"/>
    <xdr:sp macro="" textlink="">
      <xdr:nvSpPr>
        <xdr:cNvPr id="6935" name="Text Box 3863">
          <a:extLst>
            <a:ext uri="{FF2B5EF4-FFF2-40B4-BE49-F238E27FC236}">
              <a16:creationId xmlns:a16="http://schemas.microsoft.com/office/drawing/2014/main" id="{00000000-0008-0000-0000-0000171B0000}"/>
            </a:ext>
          </a:extLst>
        </xdr:cNvPr>
        <xdr:cNvSpPr txBox="1">
          <a:spLocks noChangeArrowheads="1"/>
        </xdr:cNvSpPr>
      </xdr:nvSpPr>
      <xdr:spPr bwMode="auto">
        <a:xfrm>
          <a:off x="2197100" y="2405592"/>
          <a:ext cx="1586909"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Color Setting &amp; Selection</a:t>
          </a:r>
        </a:p>
      </xdr:txBody>
    </xdr:sp>
    <xdr:clientData/>
  </xdr:oneCellAnchor>
  <xdr:oneCellAnchor>
    <xdr:from>
      <xdr:col>6</xdr:col>
      <xdr:colOff>276225</xdr:colOff>
      <xdr:row>11</xdr:row>
      <xdr:rowOff>57150</xdr:rowOff>
    </xdr:from>
    <xdr:ext cx="920508" cy="185307"/>
    <xdr:sp macro="" textlink="">
      <xdr:nvSpPr>
        <xdr:cNvPr id="6936" name="Text Box 3864">
          <a:extLst>
            <a:ext uri="{FF2B5EF4-FFF2-40B4-BE49-F238E27FC236}">
              <a16:creationId xmlns:a16="http://schemas.microsoft.com/office/drawing/2014/main" id="{00000000-0008-0000-0000-0000181B0000}"/>
            </a:ext>
          </a:extLst>
        </xdr:cNvPr>
        <xdr:cNvSpPr txBox="1">
          <a:spLocks noChangeArrowheads="1"/>
        </xdr:cNvSpPr>
      </xdr:nvSpPr>
      <xdr:spPr bwMode="auto">
        <a:xfrm>
          <a:off x="4403725" y="2396067"/>
          <a:ext cx="920508"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Led Animation</a:t>
          </a:r>
        </a:p>
      </xdr:txBody>
    </xdr:sp>
    <xdr:clientData/>
  </xdr:oneCellAnchor>
  <xdr:twoCellAnchor editAs="oneCell">
    <xdr:from>
      <xdr:col>12</xdr:col>
      <xdr:colOff>171450</xdr:colOff>
      <xdr:row>11</xdr:row>
      <xdr:rowOff>28575</xdr:rowOff>
    </xdr:from>
    <xdr:to>
      <xdr:col>15</xdr:col>
      <xdr:colOff>190500</xdr:colOff>
      <xdr:row>12</xdr:row>
      <xdr:rowOff>66675</xdr:rowOff>
    </xdr:to>
    <xdr:sp macro="" textlink="">
      <xdr:nvSpPr>
        <xdr:cNvPr id="6937" name="Text Box 3865">
          <a:extLst>
            <a:ext uri="{FF2B5EF4-FFF2-40B4-BE49-F238E27FC236}">
              <a16:creationId xmlns:a16="http://schemas.microsoft.com/office/drawing/2014/main" id="{00000000-0008-0000-0000-0000191B0000}"/>
            </a:ext>
          </a:extLst>
        </xdr:cNvPr>
        <xdr:cNvSpPr txBox="1">
          <a:spLocks noChangeArrowheads="1"/>
        </xdr:cNvSpPr>
      </xdr:nvSpPr>
      <xdr:spPr bwMode="auto">
        <a:xfrm>
          <a:off x="8401050" y="2381250"/>
          <a:ext cx="2076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Pattern &amp; Animation handling Handling</a:t>
          </a:r>
        </a:p>
      </xdr:txBody>
    </xdr:sp>
    <xdr:clientData/>
  </xdr:twoCellAnchor>
  <xdr:twoCellAnchor editAs="oneCell">
    <xdr:from>
      <xdr:col>0</xdr:col>
      <xdr:colOff>314325</xdr:colOff>
      <xdr:row>21</xdr:row>
      <xdr:rowOff>28575</xdr:rowOff>
    </xdr:from>
    <xdr:to>
      <xdr:col>5</xdr:col>
      <xdr:colOff>276225</xdr:colOff>
      <xdr:row>22</xdr:row>
      <xdr:rowOff>66675</xdr:rowOff>
    </xdr:to>
    <xdr:sp macro="" textlink="">
      <xdr:nvSpPr>
        <xdr:cNvPr id="6939" name="Text Box 3867">
          <a:extLst>
            <a:ext uri="{FF2B5EF4-FFF2-40B4-BE49-F238E27FC236}">
              <a16:creationId xmlns:a16="http://schemas.microsoft.com/office/drawing/2014/main" id="{00000000-0008-0000-0000-00001B1B0000}"/>
            </a:ext>
          </a:extLst>
        </xdr:cNvPr>
        <xdr:cNvSpPr txBox="1">
          <a:spLocks noChangeArrowheads="1"/>
        </xdr:cNvSpPr>
      </xdr:nvSpPr>
      <xdr:spPr bwMode="auto">
        <a:xfrm>
          <a:off x="314325" y="4200525"/>
          <a:ext cx="33909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Animation (Editable, ctrl-Enter to add a new line)</a:t>
          </a:r>
        </a:p>
      </xdr:txBody>
    </xdr:sp>
    <xdr:clientData/>
  </xdr:twoCellAnchor>
  <mc:AlternateContent xmlns:mc="http://schemas.openxmlformats.org/markup-compatibility/2006">
    <mc:Choice xmlns:a14="http://schemas.microsoft.com/office/drawing/2010/main" Requires="a14">
      <xdr:twoCellAnchor editAs="oneCell">
        <xdr:from>
          <xdr:col>13</xdr:col>
          <xdr:colOff>352425</xdr:colOff>
          <xdr:row>14</xdr:row>
          <xdr:rowOff>133350</xdr:rowOff>
        </xdr:from>
        <xdr:to>
          <xdr:col>15</xdr:col>
          <xdr:colOff>152400</xdr:colOff>
          <xdr:row>16</xdr:row>
          <xdr:rowOff>76200</xdr:rowOff>
        </xdr:to>
        <xdr:sp macro="" textlink="">
          <xdr:nvSpPr>
            <xdr:cNvPr id="7174" name="BtnEraseCmd"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57150</xdr:colOff>
      <xdr:row>6</xdr:row>
      <xdr:rowOff>76200</xdr:rowOff>
    </xdr:from>
    <xdr:to>
      <xdr:col>1</xdr:col>
      <xdr:colOff>57150</xdr:colOff>
      <xdr:row>8</xdr:row>
      <xdr:rowOff>19050</xdr:rowOff>
    </xdr:to>
    <xdr:sp macro="" textlink="">
      <xdr:nvSpPr>
        <xdr:cNvPr id="91656" name="Line 8130">
          <a:extLst>
            <a:ext uri="{FF2B5EF4-FFF2-40B4-BE49-F238E27FC236}">
              <a16:creationId xmlns:a16="http://schemas.microsoft.com/office/drawing/2014/main" id="{00000000-0008-0000-0000-000008660100}"/>
            </a:ext>
          </a:extLst>
        </xdr:cNvPr>
        <xdr:cNvSpPr>
          <a:spLocks noChangeShapeType="1"/>
        </xdr:cNvSpPr>
      </xdr:nvSpPr>
      <xdr:spPr bwMode="auto">
        <a:xfrm flipV="1">
          <a:off x="742950" y="11620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9</xdr:col>
      <xdr:colOff>123825</xdr:colOff>
      <xdr:row>11</xdr:row>
      <xdr:rowOff>9525</xdr:rowOff>
    </xdr:from>
    <xdr:ext cx="1132105" cy="185307"/>
    <xdr:sp macro="" textlink="">
      <xdr:nvSpPr>
        <xdr:cNvPr id="15635" name="Text Box 12563">
          <a:extLst>
            <a:ext uri="{FF2B5EF4-FFF2-40B4-BE49-F238E27FC236}">
              <a16:creationId xmlns:a16="http://schemas.microsoft.com/office/drawing/2014/main" id="{00000000-0008-0000-0000-0000133D0000}"/>
            </a:ext>
          </a:extLst>
        </xdr:cNvPr>
        <xdr:cNvSpPr txBox="1">
          <a:spLocks noChangeArrowheads="1"/>
        </xdr:cNvSpPr>
      </xdr:nvSpPr>
      <xdr:spPr bwMode="auto">
        <a:xfrm>
          <a:off x="6315075" y="2348442"/>
          <a:ext cx="1132105"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Detailed Direction</a:t>
          </a:r>
        </a:p>
      </xdr:txBody>
    </xdr:sp>
    <xdr:clientData/>
  </xdr:oneCellAnchor>
  <mc:AlternateContent xmlns:mc="http://schemas.openxmlformats.org/markup-compatibility/2006">
    <mc:Choice xmlns:a14="http://schemas.microsoft.com/office/drawing/2010/main" Requires="a14">
      <xdr:twoCellAnchor editAs="oneCell">
        <xdr:from>
          <xdr:col>9</xdr:col>
          <xdr:colOff>676275</xdr:colOff>
          <xdr:row>15</xdr:row>
          <xdr:rowOff>57150</xdr:rowOff>
        </xdr:from>
        <xdr:to>
          <xdr:col>11</xdr:col>
          <xdr:colOff>47625</xdr:colOff>
          <xdr:row>17</xdr:row>
          <xdr:rowOff>0</xdr:rowOff>
        </xdr:to>
        <xdr:sp macro="" textlink="">
          <xdr:nvSpPr>
            <xdr:cNvPr id="15637" name="BtnColumns" hidden="1">
              <a:extLst>
                <a:ext uri="{63B3BB69-23CF-44E3-9099-C40C66FF867C}">
                  <a14:compatExt spid="_x0000_s15637"/>
                </a:ext>
                <a:ext uri="{FF2B5EF4-FFF2-40B4-BE49-F238E27FC236}">
                  <a16:creationId xmlns:a16="http://schemas.microsoft.com/office/drawing/2014/main" id="{00000000-0008-0000-0000-000015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542925</xdr:colOff>
          <xdr:row>12</xdr:row>
          <xdr:rowOff>38100</xdr:rowOff>
        </xdr:from>
        <xdr:to>
          <xdr:col>11</xdr:col>
          <xdr:colOff>600075</xdr:colOff>
          <xdr:row>13</xdr:row>
          <xdr:rowOff>95250</xdr:rowOff>
        </xdr:to>
        <xdr:sp macro="" textlink="">
          <xdr:nvSpPr>
            <xdr:cNvPr id="15639" name="ComboColumns" hidden="1">
              <a:extLst>
                <a:ext uri="{63B3BB69-23CF-44E3-9099-C40C66FF867C}">
                  <a14:compatExt spid="_x0000_s15639"/>
                </a:ext>
                <a:ext uri="{FF2B5EF4-FFF2-40B4-BE49-F238E27FC236}">
                  <a16:creationId xmlns:a16="http://schemas.microsoft.com/office/drawing/2014/main" id="{00000000-0008-0000-0000-000017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19050</xdr:colOff>
      <xdr:row>12</xdr:row>
      <xdr:rowOff>47625</xdr:rowOff>
    </xdr:from>
    <xdr:to>
      <xdr:col>9</xdr:col>
      <xdr:colOff>438150</xdr:colOff>
      <xdr:row>13</xdr:row>
      <xdr:rowOff>85725</xdr:rowOff>
    </xdr:to>
    <xdr:sp macro="" textlink="">
      <xdr:nvSpPr>
        <xdr:cNvPr id="15640" name="Text Box 12568">
          <a:extLst>
            <a:ext uri="{FF2B5EF4-FFF2-40B4-BE49-F238E27FC236}">
              <a16:creationId xmlns:a16="http://schemas.microsoft.com/office/drawing/2014/main" id="{00000000-0008-0000-0000-0000183D0000}"/>
            </a:ext>
          </a:extLst>
        </xdr:cNvPr>
        <xdr:cNvSpPr txBox="1">
          <a:spLocks noChangeArrowheads="1"/>
        </xdr:cNvSpPr>
      </xdr:nvSpPr>
      <xdr:spPr bwMode="auto">
        <a:xfrm>
          <a:off x="6191250" y="25812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xdr:twoCellAnchor editAs="oneCell">
    <xdr:from>
      <xdr:col>9</xdr:col>
      <xdr:colOff>28575</xdr:colOff>
      <xdr:row>13</xdr:row>
      <xdr:rowOff>133350</xdr:rowOff>
    </xdr:from>
    <xdr:to>
      <xdr:col>9</xdr:col>
      <xdr:colOff>447675</xdr:colOff>
      <xdr:row>14</xdr:row>
      <xdr:rowOff>171450</xdr:rowOff>
    </xdr:to>
    <xdr:sp macro="" textlink="">
      <xdr:nvSpPr>
        <xdr:cNvPr id="15641" name="Text Box 12569">
          <a:extLst>
            <a:ext uri="{FF2B5EF4-FFF2-40B4-BE49-F238E27FC236}">
              <a16:creationId xmlns:a16="http://schemas.microsoft.com/office/drawing/2014/main" id="{00000000-0008-0000-0000-0000193D0000}"/>
            </a:ext>
          </a:extLst>
        </xdr:cNvPr>
        <xdr:cNvSpPr txBox="1">
          <a:spLocks noChangeArrowheads="1"/>
        </xdr:cNvSpPr>
      </xdr:nvSpPr>
      <xdr:spPr bwMode="auto">
        <a:xfrm>
          <a:off x="6200775" y="28479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13</xdr:row>
          <xdr:rowOff>114300</xdr:rowOff>
        </xdr:from>
        <xdr:to>
          <xdr:col>11</xdr:col>
          <xdr:colOff>600075</xdr:colOff>
          <xdr:row>14</xdr:row>
          <xdr:rowOff>171450</xdr:rowOff>
        </xdr:to>
        <xdr:sp macro="" textlink="">
          <xdr:nvSpPr>
            <xdr:cNvPr id="17652" name="ComboRows" hidden="1">
              <a:extLst>
                <a:ext uri="{63B3BB69-23CF-44E3-9099-C40C66FF867C}">
                  <a14:compatExt spid="_x0000_s17652"/>
                </a:ext>
                <a:ext uri="{FF2B5EF4-FFF2-40B4-BE49-F238E27FC236}">
                  <a16:creationId xmlns:a16="http://schemas.microsoft.com/office/drawing/2014/main" id="{00000000-0008-0000-0000-0000F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676275</xdr:colOff>
          <xdr:row>17</xdr:row>
          <xdr:rowOff>95250</xdr:rowOff>
        </xdr:from>
        <xdr:to>
          <xdr:col>11</xdr:col>
          <xdr:colOff>28575</xdr:colOff>
          <xdr:row>19</xdr:row>
          <xdr:rowOff>38100</xdr:rowOff>
        </xdr:to>
        <xdr:sp macro="" textlink="">
          <xdr:nvSpPr>
            <xdr:cNvPr id="17653" name="BtnRows" hidden="1">
              <a:extLst>
                <a:ext uri="{63B3BB69-23CF-44E3-9099-C40C66FF867C}">
                  <a14:compatExt spid="_x0000_s17653"/>
                </a:ext>
                <a:ext uri="{FF2B5EF4-FFF2-40B4-BE49-F238E27FC236}">
                  <a16:creationId xmlns:a16="http://schemas.microsoft.com/office/drawing/2014/main" id="{00000000-0008-0000-0000-0000F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57150</xdr:rowOff>
        </xdr:from>
        <xdr:to>
          <xdr:col>11</xdr:col>
          <xdr:colOff>609600</xdr:colOff>
          <xdr:row>19</xdr:row>
          <xdr:rowOff>38100</xdr:rowOff>
        </xdr:to>
        <xdr:sp macro="" textlink="">
          <xdr:nvSpPr>
            <xdr:cNvPr id="17654" name="BtnColRow" hidden="1">
              <a:extLst>
                <a:ext uri="{63B3BB69-23CF-44E3-9099-C40C66FF867C}">
                  <a14:compatExt spid="_x0000_s17654"/>
                </a:ext>
                <a:ext uri="{FF2B5EF4-FFF2-40B4-BE49-F238E27FC236}">
                  <a16:creationId xmlns:a16="http://schemas.microsoft.com/office/drawing/2014/main" id="{00000000-0008-0000-0000-0000F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15</xdr:row>
          <xdr:rowOff>57150</xdr:rowOff>
        </xdr:from>
        <xdr:to>
          <xdr:col>9</xdr:col>
          <xdr:colOff>638175</xdr:colOff>
          <xdr:row>19</xdr:row>
          <xdr:rowOff>38100</xdr:rowOff>
        </xdr:to>
        <xdr:sp macro="" textlink="">
          <xdr:nvSpPr>
            <xdr:cNvPr id="17959" name="BtnRowCol" hidden="1">
              <a:extLst>
                <a:ext uri="{63B3BB69-23CF-44E3-9099-C40C66FF867C}">
                  <a14:compatExt spid="_x0000_s17959"/>
                </a:ext>
                <a:ext uri="{FF2B5EF4-FFF2-40B4-BE49-F238E27FC236}">
                  <a16:creationId xmlns:a16="http://schemas.microsoft.com/office/drawing/2014/main" id="{00000000-0008-0000-0000-000027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57150</xdr:colOff>
      <xdr:row>11</xdr:row>
      <xdr:rowOff>0</xdr:rowOff>
    </xdr:from>
    <xdr:to>
      <xdr:col>9</xdr:col>
      <xdr:colOff>57150</xdr:colOff>
      <xdr:row>20</xdr:row>
      <xdr:rowOff>28575</xdr:rowOff>
    </xdr:to>
    <xdr:sp macro="" textlink="">
      <xdr:nvSpPr>
        <xdr:cNvPr id="91660" name="Line 14888">
          <a:extLst>
            <a:ext uri="{FF2B5EF4-FFF2-40B4-BE49-F238E27FC236}">
              <a16:creationId xmlns:a16="http://schemas.microsoft.com/office/drawing/2014/main" id="{00000000-0008-0000-0000-00000C660100}"/>
            </a:ext>
          </a:extLst>
        </xdr:cNvPr>
        <xdr:cNvSpPr>
          <a:spLocks noChangeShapeType="1"/>
        </xdr:cNvSpPr>
      </xdr:nvSpPr>
      <xdr:spPr bwMode="auto">
        <a:xfrm>
          <a:off x="6229350" y="235267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61" name="Line 37188">
          <a:extLst>
            <a:ext uri="{FF2B5EF4-FFF2-40B4-BE49-F238E27FC236}">
              <a16:creationId xmlns:a16="http://schemas.microsoft.com/office/drawing/2014/main" id="{00000000-0008-0000-0000-00000D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209550</xdr:colOff>
      <xdr:row>16</xdr:row>
      <xdr:rowOff>123825</xdr:rowOff>
    </xdr:from>
    <xdr:to>
      <xdr:col>15</xdr:col>
      <xdr:colOff>428625</xdr:colOff>
      <xdr:row>16</xdr:row>
      <xdr:rowOff>123825</xdr:rowOff>
    </xdr:to>
    <xdr:sp macro="" textlink="">
      <xdr:nvSpPr>
        <xdr:cNvPr id="91662" name="Line 37190">
          <a:extLst>
            <a:ext uri="{FF2B5EF4-FFF2-40B4-BE49-F238E27FC236}">
              <a16:creationId xmlns:a16="http://schemas.microsoft.com/office/drawing/2014/main" id="{00000000-0008-0000-0000-00000E660100}"/>
            </a:ext>
          </a:extLst>
        </xdr:cNvPr>
        <xdr:cNvSpPr>
          <a:spLocks noChangeShapeType="1"/>
        </xdr:cNvSpPr>
      </xdr:nvSpPr>
      <xdr:spPr bwMode="auto">
        <a:xfrm flipH="1" flipV="1">
          <a:off x="8439150" y="3381375"/>
          <a:ext cx="2276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180975</xdr:colOff>
          <xdr:row>18</xdr:row>
          <xdr:rowOff>171450</xdr:rowOff>
        </xdr:from>
        <xdr:to>
          <xdr:col>13</xdr:col>
          <xdr:colOff>247650</xdr:colOff>
          <xdr:row>20</xdr:row>
          <xdr:rowOff>47625</xdr:rowOff>
        </xdr:to>
        <xdr:sp macro="" textlink="">
          <xdr:nvSpPr>
            <xdr:cNvPr id="40263" name="FontSelect" hidden="1">
              <a:extLst>
                <a:ext uri="{63B3BB69-23CF-44E3-9099-C40C66FF867C}">
                  <a14:compatExt spid="_x0000_s40263"/>
                </a:ext>
                <a:ext uri="{FF2B5EF4-FFF2-40B4-BE49-F238E27FC236}">
                  <a16:creationId xmlns:a16="http://schemas.microsoft.com/office/drawing/2014/main" id="{00000000-0008-0000-0000-000047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18</xdr:row>
          <xdr:rowOff>123825</xdr:rowOff>
        </xdr:from>
        <xdr:to>
          <xdr:col>15</xdr:col>
          <xdr:colOff>523875</xdr:colOff>
          <xdr:row>20</xdr:row>
          <xdr:rowOff>66675</xdr:rowOff>
        </xdr:to>
        <xdr:sp macro="" textlink="">
          <xdr:nvSpPr>
            <xdr:cNvPr id="40377" name="AddString" hidden="1">
              <a:extLst>
                <a:ext uri="{63B3BB69-23CF-44E3-9099-C40C66FF867C}">
                  <a14:compatExt spid="_x0000_s40377"/>
                </a:ext>
                <a:ext uri="{FF2B5EF4-FFF2-40B4-BE49-F238E27FC236}">
                  <a16:creationId xmlns:a16="http://schemas.microsoft.com/office/drawing/2014/main" id="{00000000-0008-0000-0000-0000B9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238125</xdr:colOff>
          <xdr:row>17</xdr:row>
          <xdr:rowOff>9525</xdr:rowOff>
        </xdr:from>
        <xdr:to>
          <xdr:col>15</xdr:col>
          <xdr:colOff>704850</xdr:colOff>
          <xdr:row>18</xdr:row>
          <xdr:rowOff>66675</xdr:rowOff>
        </xdr:to>
        <xdr:sp macro="" textlink="">
          <xdr:nvSpPr>
            <xdr:cNvPr id="48317" name="Label 43197" hidden="1">
              <a:extLst>
                <a:ext uri="{63B3BB69-23CF-44E3-9099-C40C66FF867C}">
                  <a14:compatExt spid="_x0000_s48317"/>
                </a:ext>
                <a:ext uri="{FF2B5EF4-FFF2-40B4-BE49-F238E27FC236}">
                  <a16:creationId xmlns:a16="http://schemas.microsoft.com/office/drawing/2014/main" id="{00000000-0008-0000-0000-0000BD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Type text in cells "B40..B44" (below animation 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18</xdr:row>
          <xdr:rowOff>161925</xdr:rowOff>
        </xdr:from>
        <xdr:to>
          <xdr:col>14</xdr:col>
          <xdr:colOff>390525</xdr:colOff>
          <xdr:row>20</xdr:row>
          <xdr:rowOff>38100</xdr:rowOff>
        </xdr:to>
        <xdr:sp macro="" textlink="">
          <xdr:nvSpPr>
            <xdr:cNvPr id="50205" name="Effect"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0</xdr:row>
          <xdr:rowOff>133350</xdr:rowOff>
        </xdr:from>
        <xdr:to>
          <xdr:col>15</xdr:col>
          <xdr:colOff>723900</xdr:colOff>
          <xdr:row>2</xdr:row>
          <xdr:rowOff>9525</xdr:rowOff>
        </xdr:to>
        <xdr:sp macro="" textlink="">
          <xdr:nvSpPr>
            <xdr:cNvPr id="57427" name="viewLEDS" hidden="1">
              <a:extLst>
                <a:ext uri="{63B3BB69-23CF-44E3-9099-C40C66FF867C}">
                  <a14:compatExt spid="_x0000_s57427"/>
                </a:ext>
                <a:ext uri="{FF2B5EF4-FFF2-40B4-BE49-F238E27FC236}">
                  <a16:creationId xmlns:a16="http://schemas.microsoft.com/office/drawing/2014/main" id="{00000000-0008-0000-0000-00005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66675</xdr:rowOff>
        </xdr:from>
        <xdr:to>
          <xdr:col>8</xdr:col>
          <xdr:colOff>571500</xdr:colOff>
          <xdr:row>20</xdr:row>
          <xdr:rowOff>9525</xdr:rowOff>
        </xdr:to>
        <xdr:sp macro="" textlink="">
          <xdr:nvSpPr>
            <xdr:cNvPr id="60218" name="BtnAllBufs" hidden="1">
              <a:extLst>
                <a:ext uri="{63B3BB69-23CF-44E3-9099-C40C66FF867C}">
                  <a14:compatExt spid="_x0000_s60218"/>
                </a:ext>
                <a:ext uri="{FF2B5EF4-FFF2-40B4-BE49-F238E27FC236}">
                  <a16:creationId xmlns:a16="http://schemas.microsoft.com/office/drawing/2014/main" id="{00000000-0008-0000-0000-00003AE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152400</xdr:colOff>
      <xdr:row>18</xdr:row>
      <xdr:rowOff>19050</xdr:rowOff>
    </xdr:from>
    <xdr:to>
      <xdr:col>9</xdr:col>
      <xdr:colOff>0</xdr:colOff>
      <xdr:row>18</xdr:row>
      <xdr:rowOff>19050</xdr:rowOff>
    </xdr:to>
    <xdr:sp macro="" textlink="">
      <xdr:nvSpPr>
        <xdr:cNvPr id="91663" name="Line 37190">
          <a:extLst>
            <a:ext uri="{FF2B5EF4-FFF2-40B4-BE49-F238E27FC236}">
              <a16:creationId xmlns:a16="http://schemas.microsoft.com/office/drawing/2014/main" id="{00000000-0008-0000-0000-00000F660100}"/>
            </a:ext>
          </a:extLst>
        </xdr:cNvPr>
        <xdr:cNvSpPr>
          <a:spLocks noChangeShapeType="1"/>
        </xdr:cNvSpPr>
      </xdr:nvSpPr>
      <xdr:spPr bwMode="auto">
        <a:xfrm flipH="1" flipV="1">
          <a:off x="4267200" y="3638550"/>
          <a:ext cx="1905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15</xdr:col>
          <xdr:colOff>19050</xdr:colOff>
          <xdr:row>6</xdr:row>
          <xdr:rowOff>114300</xdr:rowOff>
        </xdr:from>
        <xdr:to>
          <xdr:col>15</xdr:col>
          <xdr:colOff>723900</xdr:colOff>
          <xdr:row>8</xdr:row>
          <xdr:rowOff>76200</xdr:rowOff>
        </xdr:to>
        <xdr:sp macro="" textlink="">
          <xdr:nvSpPr>
            <xdr:cNvPr id="90785" name="Label 81569" hidden="1">
              <a:extLst>
                <a:ext uri="{63B3BB69-23CF-44E3-9099-C40C66FF867C}">
                  <a14:compatExt spid="_x0000_s90785"/>
                </a:ext>
                <a:ext uri="{FF2B5EF4-FFF2-40B4-BE49-F238E27FC236}">
                  <a16:creationId xmlns:a16="http://schemas.microsoft.com/office/drawing/2014/main" id="{00000000-0008-0000-0000-0000A162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Ruud Rademaker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22</xdr:row>
          <xdr:rowOff>114300</xdr:rowOff>
        </xdr:from>
        <xdr:to>
          <xdr:col>15</xdr:col>
          <xdr:colOff>400050</xdr:colOff>
          <xdr:row>25</xdr:row>
          <xdr:rowOff>104775</xdr:rowOff>
        </xdr:to>
        <xdr:sp macro="" textlink="">
          <xdr:nvSpPr>
            <xdr:cNvPr id="90792" name="btnEraseLed" hidden="1">
              <a:extLst>
                <a:ext uri="{63B3BB69-23CF-44E3-9099-C40C66FF867C}">
                  <a14:compatExt spid="_x0000_s90792"/>
                </a:ext>
                <a:ext uri="{FF2B5EF4-FFF2-40B4-BE49-F238E27FC236}">
                  <a16:creationId xmlns:a16="http://schemas.microsoft.com/office/drawing/2014/main" id="{00000000-0008-0000-0000-0000A8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25</xdr:row>
          <xdr:rowOff>171450</xdr:rowOff>
        </xdr:from>
        <xdr:to>
          <xdr:col>15</xdr:col>
          <xdr:colOff>400050</xdr:colOff>
          <xdr:row>28</xdr:row>
          <xdr:rowOff>161925</xdr:rowOff>
        </xdr:to>
        <xdr:sp macro="" textlink="">
          <xdr:nvSpPr>
            <xdr:cNvPr id="90793" name="BtnSendToDalek" hidden="1">
              <a:extLst>
                <a:ext uri="{63B3BB69-23CF-44E3-9099-C40C66FF867C}">
                  <a14:compatExt spid="_x0000_s90793"/>
                </a:ext>
                <a:ext uri="{FF2B5EF4-FFF2-40B4-BE49-F238E27FC236}">
                  <a16:creationId xmlns:a16="http://schemas.microsoft.com/office/drawing/2014/main" id="{00000000-0008-0000-0000-0000A9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85725</xdr:rowOff>
        </xdr:from>
        <xdr:to>
          <xdr:col>15</xdr:col>
          <xdr:colOff>400050</xdr:colOff>
          <xdr:row>32</xdr:row>
          <xdr:rowOff>76200</xdr:rowOff>
        </xdr:to>
        <xdr:sp macro="" textlink="">
          <xdr:nvSpPr>
            <xdr:cNvPr id="90794" name="btnPlayBuffer" hidden="1">
              <a:extLst>
                <a:ext uri="{63B3BB69-23CF-44E3-9099-C40C66FF867C}">
                  <a14:compatExt spid="_x0000_s90794"/>
                </a:ext>
                <a:ext uri="{FF2B5EF4-FFF2-40B4-BE49-F238E27FC236}">
                  <a16:creationId xmlns:a16="http://schemas.microsoft.com/office/drawing/2014/main" id="{00000000-0008-0000-0000-0000AA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33</xdr:row>
          <xdr:rowOff>0</xdr:rowOff>
        </xdr:from>
        <xdr:to>
          <xdr:col>15</xdr:col>
          <xdr:colOff>400050</xdr:colOff>
          <xdr:row>38</xdr:row>
          <xdr:rowOff>76200</xdr:rowOff>
        </xdr:to>
        <xdr:sp macro="" textlink="">
          <xdr:nvSpPr>
            <xdr:cNvPr id="90795" name="btnStopPlaying" hidden="1">
              <a:extLst>
                <a:ext uri="{63B3BB69-23CF-44E3-9099-C40C66FF867C}">
                  <a14:compatExt spid="_x0000_s90795"/>
                </a:ext>
                <a:ext uri="{FF2B5EF4-FFF2-40B4-BE49-F238E27FC236}">
                  <a16:creationId xmlns:a16="http://schemas.microsoft.com/office/drawing/2014/main" id="{00000000-0008-0000-0000-0000AB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xdr:row>
          <xdr:rowOff>57150</xdr:rowOff>
        </xdr:from>
        <xdr:to>
          <xdr:col>15</xdr:col>
          <xdr:colOff>666750</xdr:colOff>
          <xdr:row>9</xdr:row>
          <xdr:rowOff>466725</xdr:rowOff>
        </xdr:to>
        <xdr:sp macro="" textlink="">
          <xdr:nvSpPr>
            <xdr:cNvPr id="90796" name="btnPlayB10" hidden="1">
              <a:extLst>
                <a:ext uri="{63B3BB69-23CF-44E3-9099-C40C66FF867C}">
                  <a14:compatExt spid="_x0000_s90796"/>
                </a:ext>
                <a:ext uri="{FF2B5EF4-FFF2-40B4-BE49-F238E27FC236}">
                  <a16:creationId xmlns:a16="http://schemas.microsoft.com/office/drawing/2014/main" id="{00000000-0008-0000-0000-0000AC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11</xdr:row>
          <xdr:rowOff>133350</xdr:rowOff>
        </xdr:from>
        <xdr:to>
          <xdr:col>2</xdr:col>
          <xdr:colOff>542925</xdr:colOff>
          <xdr:row>13</xdr:row>
          <xdr:rowOff>28575</xdr:rowOff>
        </xdr:to>
        <xdr:sp macro="" textlink="">
          <xdr:nvSpPr>
            <xdr:cNvPr id="90797" name="CbHT16K33" hidden="1">
              <a:extLst>
                <a:ext uri="{63B3BB69-23CF-44E3-9099-C40C66FF867C}">
                  <a14:compatExt spid="_x0000_s90797"/>
                </a:ext>
                <a:ext uri="{FF2B5EF4-FFF2-40B4-BE49-F238E27FC236}">
                  <a16:creationId xmlns:a16="http://schemas.microsoft.com/office/drawing/2014/main" id="{00000000-0008-0000-0000-0000AD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127000</xdr:colOff>
      <xdr:row>0</xdr:row>
      <xdr:rowOff>127000</xdr:rowOff>
    </xdr:from>
    <xdr:to>
      <xdr:col>14</xdr:col>
      <xdr:colOff>622300</xdr:colOff>
      <xdr:row>8</xdr:row>
      <xdr:rowOff>139700</xdr:rowOff>
    </xdr:to>
    <xdr:sp macro="" textlink="">
      <xdr:nvSpPr>
        <xdr:cNvPr id="90800" name="Dalek">
          <a:extLst>
            <a:ext uri="{FF2B5EF4-FFF2-40B4-BE49-F238E27FC236}">
              <a16:creationId xmlns:a16="http://schemas.microsoft.com/office/drawing/2014/main" id="{2F1387AB-460B-41FF-B176-DEB60FDC1CE1}"/>
            </a:ext>
          </a:extLst>
        </xdr:cNvPr>
        <xdr:cNvSpPr/>
      </xdr:nvSpPr>
      <xdr:spPr>
        <a:xfrm>
          <a:off x="127000" y="127000"/>
          <a:ext cx="10096500" cy="1460500"/>
        </a:xfrm>
        <a:prstGeom prst="rect">
          <a:avLst/>
        </a:prstGeom>
        <a:solidFill>
          <a:srgbClr val="C0C0C0"/>
        </a:soli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228600</xdr:colOff>
      <xdr:row>1</xdr:row>
      <xdr:rowOff>41275</xdr:rowOff>
    </xdr:from>
    <xdr:to>
      <xdr:col>0</xdr:col>
      <xdr:colOff>609600</xdr:colOff>
      <xdr:row>8</xdr:row>
      <xdr:rowOff>44450</xdr:rowOff>
    </xdr:to>
    <xdr:sp macro="SetHorDir" textlink="">
      <xdr:nvSpPr>
        <xdr:cNvPr id="90801" name="DalekCol01">
          <a:extLst>
            <a:ext uri="{FF2B5EF4-FFF2-40B4-BE49-F238E27FC236}">
              <a16:creationId xmlns:a16="http://schemas.microsoft.com/office/drawing/2014/main" id="{73E4014D-5D7F-4BBF-9F28-EB9119BAE8E5}"/>
            </a:ext>
          </a:extLst>
        </xdr:cNvPr>
        <xdr:cNvSpPr/>
      </xdr:nvSpPr>
      <xdr:spPr>
        <a:xfrm>
          <a:off x="22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558800</xdr:colOff>
      <xdr:row>6</xdr:row>
      <xdr:rowOff>57150</xdr:rowOff>
    </xdr:from>
    <xdr:to>
      <xdr:col>0</xdr:col>
      <xdr:colOff>558800</xdr:colOff>
      <xdr:row>8</xdr:row>
      <xdr:rowOff>76200</xdr:rowOff>
    </xdr:to>
    <xdr:cxnSp macro="SetHorDir">
      <xdr:nvCxnSpPr>
        <xdr:cNvPr id="90802" name="DalekColDir01">
          <a:extLst>
            <a:ext uri="{FF2B5EF4-FFF2-40B4-BE49-F238E27FC236}">
              <a16:creationId xmlns:a16="http://schemas.microsoft.com/office/drawing/2014/main" id="{923A855A-71AC-44AA-9EA7-3A80AF1E453A}"/>
            </a:ext>
          </a:extLst>
        </xdr:cNvPr>
        <xdr:cNvCxnSpPr/>
      </xdr:nvCxnSpPr>
      <xdr:spPr>
        <a:xfrm flipV="1">
          <a:off x="55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xdr:row>
      <xdr:rowOff>73025</xdr:rowOff>
    </xdr:from>
    <xdr:to>
      <xdr:col>0</xdr:col>
      <xdr:colOff>508000</xdr:colOff>
      <xdr:row>2</xdr:row>
      <xdr:rowOff>82550</xdr:rowOff>
    </xdr:to>
    <xdr:sp macro="SetLED" textlink="">
      <xdr:nvSpPr>
        <xdr:cNvPr id="90803" name="DalekLED101">
          <a:extLst>
            <a:ext uri="{FF2B5EF4-FFF2-40B4-BE49-F238E27FC236}">
              <a16:creationId xmlns:a16="http://schemas.microsoft.com/office/drawing/2014/main" id="{46931F2A-ED8F-4B68-AC14-79BDDD8B9846}"/>
            </a:ext>
          </a:extLst>
        </xdr:cNvPr>
        <xdr:cNvSpPr/>
      </xdr:nvSpPr>
      <xdr:spPr>
        <a:xfrm>
          <a:off x="31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2</xdr:row>
      <xdr:rowOff>146050</xdr:rowOff>
    </xdr:from>
    <xdr:to>
      <xdr:col>0</xdr:col>
      <xdr:colOff>508000</xdr:colOff>
      <xdr:row>3</xdr:row>
      <xdr:rowOff>155575</xdr:rowOff>
    </xdr:to>
    <xdr:sp macro="SetLED" textlink="">
      <xdr:nvSpPr>
        <xdr:cNvPr id="90804" name="DalekLED201">
          <a:extLst>
            <a:ext uri="{FF2B5EF4-FFF2-40B4-BE49-F238E27FC236}">
              <a16:creationId xmlns:a16="http://schemas.microsoft.com/office/drawing/2014/main" id="{3A1C786C-4127-47FC-886D-AB640D6EFAB3}"/>
            </a:ext>
          </a:extLst>
        </xdr:cNvPr>
        <xdr:cNvSpPr/>
      </xdr:nvSpPr>
      <xdr:spPr>
        <a:xfrm>
          <a:off x="31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4</xdr:row>
      <xdr:rowOff>38100</xdr:rowOff>
    </xdr:from>
    <xdr:to>
      <xdr:col>0</xdr:col>
      <xdr:colOff>508000</xdr:colOff>
      <xdr:row>5</xdr:row>
      <xdr:rowOff>47625</xdr:rowOff>
    </xdr:to>
    <xdr:sp macro="SetLED" textlink="">
      <xdr:nvSpPr>
        <xdr:cNvPr id="90805" name="DalekLED301">
          <a:extLst>
            <a:ext uri="{FF2B5EF4-FFF2-40B4-BE49-F238E27FC236}">
              <a16:creationId xmlns:a16="http://schemas.microsoft.com/office/drawing/2014/main" id="{9EB42E61-641E-45A8-87F1-65BFEB083318}"/>
            </a:ext>
          </a:extLst>
        </xdr:cNvPr>
        <xdr:cNvSpPr/>
      </xdr:nvSpPr>
      <xdr:spPr>
        <a:xfrm>
          <a:off x="31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5</xdr:row>
      <xdr:rowOff>111125</xdr:rowOff>
    </xdr:from>
    <xdr:to>
      <xdr:col>0</xdr:col>
      <xdr:colOff>508000</xdr:colOff>
      <xdr:row>6</xdr:row>
      <xdr:rowOff>120650</xdr:rowOff>
    </xdr:to>
    <xdr:sp macro="SetLED" textlink="">
      <xdr:nvSpPr>
        <xdr:cNvPr id="90806" name="DalekLED401">
          <a:extLst>
            <a:ext uri="{FF2B5EF4-FFF2-40B4-BE49-F238E27FC236}">
              <a16:creationId xmlns:a16="http://schemas.microsoft.com/office/drawing/2014/main" id="{8D69706A-14A0-47A7-8AD6-81848241D213}"/>
            </a:ext>
          </a:extLst>
        </xdr:cNvPr>
        <xdr:cNvSpPr/>
      </xdr:nvSpPr>
      <xdr:spPr>
        <a:xfrm>
          <a:off x="31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7</xdr:row>
      <xdr:rowOff>3175</xdr:rowOff>
    </xdr:from>
    <xdr:to>
      <xdr:col>0</xdr:col>
      <xdr:colOff>508000</xdr:colOff>
      <xdr:row>8</xdr:row>
      <xdr:rowOff>12700</xdr:rowOff>
    </xdr:to>
    <xdr:sp macro="SetLED" textlink="">
      <xdr:nvSpPr>
        <xdr:cNvPr id="90807" name="DalekLED501">
          <a:extLst>
            <a:ext uri="{FF2B5EF4-FFF2-40B4-BE49-F238E27FC236}">
              <a16:creationId xmlns:a16="http://schemas.microsoft.com/office/drawing/2014/main" id="{5F73C4AF-CF70-4FCB-AB39-E4439F229F40}"/>
            </a:ext>
          </a:extLst>
        </xdr:cNvPr>
        <xdr:cNvSpPr/>
      </xdr:nvSpPr>
      <xdr:spPr>
        <a:xfrm>
          <a:off x="31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609600</xdr:colOff>
      <xdr:row>1</xdr:row>
      <xdr:rowOff>41275</xdr:rowOff>
    </xdr:from>
    <xdr:to>
      <xdr:col>1</xdr:col>
      <xdr:colOff>304800</xdr:colOff>
      <xdr:row>8</xdr:row>
      <xdr:rowOff>44450</xdr:rowOff>
    </xdr:to>
    <xdr:sp macro="SetHorDir" textlink="">
      <xdr:nvSpPr>
        <xdr:cNvPr id="90808" name="DalekCol02">
          <a:extLst>
            <a:ext uri="{FF2B5EF4-FFF2-40B4-BE49-F238E27FC236}">
              <a16:creationId xmlns:a16="http://schemas.microsoft.com/office/drawing/2014/main" id="{B5616F87-223A-4C49-8F67-1F9BBB72B88E}"/>
            </a:ext>
          </a:extLst>
        </xdr:cNvPr>
        <xdr:cNvSpPr/>
      </xdr:nvSpPr>
      <xdr:spPr>
        <a:xfrm>
          <a:off x="60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254000</xdr:colOff>
      <xdr:row>6</xdr:row>
      <xdr:rowOff>57150</xdr:rowOff>
    </xdr:from>
    <xdr:to>
      <xdr:col>1</xdr:col>
      <xdr:colOff>254000</xdr:colOff>
      <xdr:row>8</xdr:row>
      <xdr:rowOff>76200</xdr:rowOff>
    </xdr:to>
    <xdr:cxnSp macro="SetHorDir">
      <xdr:nvCxnSpPr>
        <xdr:cNvPr id="90809" name="DalekColDir02">
          <a:extLst>
            <a:ext uri="{FF2B5EF4-FFF2-40B4-BE49-F238E27FC236}">
              <a16:creationId xmlns:a16="http://schemas.microsoft.com/office/drawing/2014/main" id="{2C911A9F-0E4A-418C-ACE0-43D085E6A021}"/>
            </a:ext>
          </a:extLst>
        </xdr:cNvPr>
        <xdr:cNvCxnSpPr/>
      </xdr:nvCxnSpPr>
      <xdr:spPr>
        <a:xfrm flipV="1">
          <a:off x="93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12700</xdr:colOff>
      <xdr:row>1</xdr:row>
      <xdr:rowOff>73025</xdr:rowOff>
    </xdr:from>
    <xdr:to>
      <xdr:col>1</xdr:col>
      <xdr:colOff>203200</xdr:colOff>
      <xdr:row>2</xdr:row>
      <xdr:rowOff>82550</xdr:rowOff>
    </xdr:to>
    <xdr:sp macro="SetLED" textlink="">
      <xdr:nvSpPr>
        <xdr:cNvPr id="90810" name="DalekLED102">
          <a:extLst>
            <a:ext uri="{FF2B5EF4-FFF2-40B4-BE49-F238E27FC236}">
              <a16:creationId xmlns:a16="http://schemas.microsoft.com/office/drawing/2014/main" id="{55EE80A0-FDF5-44E1-994F-5C8134B99ED3}"/>
            </a:ext>
          </a:extLst>
        </xdr:cNvPr>
        <xdr:cNvSpPr/>
      </xdr:nvSpPr>
      <xdr:spPr>
        <a:xfrm>
          <a:off x="69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2</xdr:row>
      <xdr:rowOff>146050</xdr:rowOff>
    </xdr:from>
    <xdr:to>
      <xdr:col>1</xdr:col>
      <xdr:colOff>203200</xdr:colOff>
      <xdr:row>3</xdr:row>
      <xdr:rowOff>155575</xdr:rowOff>
    </xdr:to>
    <xdr:sp macro="SetLED" textlink="">
      <xdr:nvSpPr>
        <xdr:cNvPr id="90811" name="DalekLED202">
          <a:extLst>
            <a:ext uri="{FF2B5EF4-FFF2-40B4-BE49-F238E27FC236}">
              <a16:creationId xmlns:a16="http://schemas.microsoft.com/office/drawing/2014/main" id="{2EE538AB-6760-4BF6-B7AB-C77D8D0B1D7A}"/>
            </a:ext>
          </a:extLst>
        </xdr:cNvPr>
        <xdr:cNvSpPr/>
      </xdr:nvSpPr>
      <xdr:spPr>
        <a:xfrm>
          <a:off x="69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4</xdr:row>
      <xdr:rowOff>38100</xdr:rowOff>
    </xdr:from>
    <xdr:to>
      <xdr:col>1</xdr:col>
      <xdr:colOff>203200</xdr:colOff>
      <xdr:row>5</xdr:row>
      <xdr:rowOff>47625</xdr:rowOff>
    </xdr:to>
    <xdr:sp macro="SetLED" textlink="">
      <xdr:nvSpPr>
        <xdr:cNvPr id="90812" name="DalekLED302">
          <a:extLst>
            <a:ext uri="{FF2B5EF4-FFF2-40B4-BE49-F238E27FC236}">
              <a16:creationId xmlns:a16="http://schemas.microsoft.com/office/drawing/2014/main" id="{58A4BF31-F3BA-4A0A-BF3F-DAF071DDA29D}"/>
            </a:ext>
          </a:extLst>
        </xdr:cNvPr>
        <xdr:cNvSpPr/>
      </xdr:nvSpPr>
      <xdr:spPr>
        <a:xfrm>
          <a:off x="69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5</xdr:row>
      <xdr:rowOff>111125</xdr:rowOff>
    </xdr:from>
    <xdr:to>
      <xdr:col>1</xdr:col>
      <xdr:colOff>203200</xdr:colOff>
      <xdr:row>6</xdr:row>
      <xdr:rowOff>120650</xdr:rowOff>
    </xdr:to>
    <xdr:sp macro="SetLED" textlink="">
      <xdr:nvSpPr>
        <xdr:cNvPr id="90813" name="DalekLED402">
          <a:extLst>
            <a:ext uri="{FF2B5EF4-FFF2-40B4-BE49-F238E27FC236}">
              <a16:creationId xmlns:a16="http://schemas.microsoft.com/office/drawing/2014/main" id="{40A2AE04-F5E7-403F-B04F-64AF509611A1}"/>
            </a:ext>
          </a:extLst>
        </xdr:cNvPr>
        <xdr:cNvSpPr/>
      </xdr:nvSpPr>
      <xdr:spPr>
        <a:xfrm>
          <a:off x="69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7</xdr:row>
      <xdr:rowOff>3175</xdr:rowOff>
    </xdr:from>
    <xdr:to>
      <xdr:col>1</xdr:col>
      <xdr:colOff>203200</xdr:colOff>
      <xdr:row>8</xdr:row>
      <xdr:rowOff>12700</xdr:rowOff>
    </xdr:to>
    <xdr:sp macro="SetLED" textlink="">
      <xdr:nvSpPr>
        <xdr:cNvPr id="90814" name="DalekLED502">
          <a:extLst>
            <a:ext uri="{FF2B5EF4-FFF2-40B4-BE49-F238E27FC236}">
              <a16:creationId xmlns:a16="http://schemas.microsoft.com/office/drawing/2014/main" id="{E80E5541-86D6-408F-AEF2-7F19872408DB}"/>
            </a:ext>
          </a:extLst>
        </xdr:cNvPr>
        <xdr:cNvSpPr/>
      </xdr:nvSpPr>
      <xdr:spPr>
        <a:xfrm>
          <a:off x="69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304800</xdr:colOff>
      <xdr:row>1</xdr:row>
      <xdr:rowOff>41275</xdr:rowOff>
    </xdr:from>
    <xdr:to>
      <xdr:col>2</xdr:col>
      <xdr:colOff>0</xdr:colOff>
      <xdr:row>8</xdr:row>
      <xdr:rowOff>44450</xdr:rowOff>
    </xdr:to>
    <xdr:sp macro="SetHorDir" textlink="">
      <xdr:nvSpPr>
        <xdr:cNvPr id="90815" name="DalekCol03">
          <a:extLst>
            <a:ext uri="{FF2B5EF4-FFF2-40B4-BE49-F238E27FC236}">
              <a16:creationId xmlns:a16="http://schemas.microsoft.com/office/drawing/2014/main" id="{EDFFE1D4-F8B4-4D94-8DBF-1EE9D1968500}"/>
            </a:ext>
          </a:extLst>
        </xdr:cNvPr>
        <xdr:cNvSpPr/>
      </xdr:nvSpPr>
      <xdr:spPr>
        <a:xfrm>
          <a:off x="99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635000</xdr:colOff>
      <xdr:row>6</xdr:row>
      <xdr:rowOff>57150</xdr:rowOff>
    </xdr:from>
    <xdr:to>
      <xdr:col>1</xdr:col>
      <xdr:colOff>635000</xdr:colOff>
      <xdr:row>8</xdr:row>
      <xdr:rowOff>76200</xdr:rowOff>
    </xdr:to>
    <xdr:cxnSp macro="SetHorDir">
      <xdr:nvCxnSpPr>
        <xdr:cNvPr id="6912" name="DalekColDir03">
          <a:extLst>
            <a:ext uri="{FF2B5EF4-FFF2-40B4-BE49-F238E27FC236}">
              <a16:creationId xmlns:a16="http://schemas.microsoft.com/office/drawing/2014/main" id="{AF352BA4-4ED9-4CBB-B535-C189BED78F50}"/>
            </a:ext>
          </a:extLst>
        </xdr:cNvPr>
        <xdr:cNvCxnSpPr/>
      </xdr:nvCxnSpPr>
      <xdr:spPr>
        <a:xfrm flipV="1">
          <a:off x="132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393700</xdr:colOff>
      <xdr:row>1</xdr:row>
      <xdr:rowOff>73025</xdr:rowOff>
    </xdr:from>
    <xdr:to>
      <xdr:col>1</xdr:col>
      <xdr:colOff>584200</xdr:colOff>
      <xdr:row>2</xdr:row>
      <xdr:rowOff>82550</xdr:rowOff>
    </xdr:to>
    <xdr:sp macro="SetLED" textlink="">
      <xdr:nvSpPr>
        <xdr:cNvPr id="6913" name="DalekLED103">
          <a:extLst>
            <a:ext uri="{FF2B5EF4-FFF2-40B4-BE49-F238E27FC236}">
              <a16:creationId xmlns:a16="http://schemas.microsoft.com/office/drawing/2014/main" id="{6C142E0C-F2C7-475E-99E2-492ED8EDF319}"/>
            </a:ext>
          </a:extLst>
        </xdr:cNvPr>
        <xdr:cNvSpPr/>
      </xdr:nvSpPr>
      <xdr:spPr>
        <a:xfrm>
          <a:off x="107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2</xdr:row>
      <xdr:rowOff>146050</xdr:rowOff>
    </xdr:from>
    <xdr:to>
      <xdr:col>1</xdr:col>
      <xdr:colOff>584200</xdr:colOff>
      <xdr:row>3</xdr:row>
      <xdr:rowOff>155575</xdr:rowOff>
    </xdr:to>
    <xdr:sp macro="SetLED" textlink="">
      <xdr:nvSpPr>
        <xdr:cNvPr id="6914" name="DalekLED203">
          <a:extLst>
            <a:ext uri="{FF2B5EF4-FFF2-40B4-BE49-F238E27FC236}">
              <a16:creationId xmlns:a16="http://schemas.microsoft.com/office/drawing/2014/main" id="{AC0920CE-B907-464E-A95C-8331398EF09A}"/>
            </a:ext>
          </a:extLst>
        </xdr:cNvPr>
        <xdr:cNvSpPr/>
      </xdr:nvSpPr>
      <xdr:spPr>
        <a:xfrm>
          <a:off x="107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4</xdr:row>
      <xdr:rowOff>38100</xdr:rowOff>
    </xdr:from>
    <xdr:to>
      <xdr:col>1</xdr:col>
      <xdr:colOff>584200</xdr:colOff>
      <xdr:row>5</xdr:row>
      <xdr:rowOff>47625</xdr:rowOff>
    </xdr:to>
    <xdr:sp macro="SetLED" textlink="">
      <xdr:nvSpPr>
        <xdr:cNvPr id="6915" name="DalekLED303">
          <a:extLst>
            <a:ext uri="{FF2B5EF4-FFF2-40B4-BE49-F238E27FC236}">
              <a16:creationId xmlns:a16="http://schemas.microsoft.com/office/drawing/2014/main" id="{D37757B4-F8A6-4008-BC60-FED3DF827925}"/>
            </a:ext>
          </a:extLst>
        </xdr:cNvPr>
        <xdr:cNvSpPr/>
      </xdr:nvSpPr>
      <xdr:spPr>
        <a:xfrm>
          <a:off x="107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5</xdr:row>
      <xdr:rowOff>111125</xdr:rowOff>
    </xdr:from>
    <xdr:to>
      <xdr:col>1</xdr:col>
      <xdr:colOff>584200</xdr:colOff>
      <xdr:row>6</xdr:row>
      <xdr:rowOff>120650</xdr:rowOff>
    </xdr:to>
    <xdr:sp macro="SetLED" textlink="">
      <xdr:nvSpPr>
        <xdr:cNvPr id="6916" name="DalekLED403">
          <a:extLst>
            <a:ext uri="{FF2B5EF4-FFF2-40B4-BE49-F238E27FC236}">
              <a16:creationId xmlns:a16="http://schemas.microsoft.com/office/drawing/2014/main" id="{0D27F35F-5091-4032-874D-7C3448897FD9}"/>
            </a:ext>
          </a:extLst>
        </xdr:cNvPr>
        <xdr:cNvSpPr/>
      </xdr:nvSpPr>
      <xdr:spPr>
        <a:xfrm>
          <a:off x="107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7</xdr:row>
      <xdr:rowOff>3175</xdr:rowOff>
    </xdr:from>
    <xdr:to>
      <xdr:col>1</xdr:col>
      <xdr:colOff>584200</xdr:colOff>
      <xdr:row>8</xdr:row>
      <xdr:rowOff>12700</xdr:rowOff>
    </xdr:to>
    <xdr:sp macro="SetLED" textlink="">
      <xdr:nvSpPr>
        <xdr:cNvPr id="6917" name="DalekLED503">
          <a:extLst>
            <a:ext uri="{FF2B5EF4-FFF2-40B4-BE49-F238E27FC236}">
              <a16:creationId xmlns:a16="http://schemas.microsoft.com/office/drawing/2014/main" id="{E3E18B8D-D018-4B83-83BE-7509149824F0}"/>
            </a:ext>
          </a:extLst>
        </xdr:cNvPr>
        <xdr:cNvSpPr/>
      </xdr:nvSpPr>
      <xdr:spPr>
        <a:xfrm>
          <a:off x="107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0</xdr:colOff>
      <xdr:row>1</xdr:row>
      <xdr:rowOff>41275</xdr:rowOff>
    </xdr:from>
    <xdr:to>
      <xdr:col>2</xdr:col>
      <xdr:colOff>381000</xdr:colOff>
      <xdr:row>8</xdr:row>
      <xdr:rowOff>44450</xdr:rowOff>
    </xdr:to>
    <xdr:sp macro="SetHorDir" textlink="">
      <xdr:nvSpPr>
        <xdr:cNvPr id="6918" name="DalekCol04">
          <a:extLst>
            <a:ext uri="{FF2B5EF4-FFF2-40B4-BE49-F238E27FC236}">
              <a16:creationId xmlns:a16="http://schemas.microsoft.com/office/drawing/2014/main" id="{888E3162-5CF3-41B1-BAF3-C1A3A3C4EE84}"/>
            </a:ext>
          </a:extLst>
        </xdr:cNvPr>
        <xdr:cNvSpPr/>
      </xdr:nvSpPr>
      <xdr:spPr>
        <a:xfrm>
          <a:off x="137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330200</xdr:colOff>
      <xdr:row>6</xdr:row>
      <xdr:rowOff>57150</xdr:rowOff>
    </xdr:from>
    <xdr:to>
      <xdr:col>2</xdr:col>
      <xdr:colOff>330200</xdr:colOff>
      <xdr:row>8</xdr:row>
      <xdr:rowOff>76200</xdr:rowOff>
    </xdr:to>
    <xdr:cxnSp macro="SetHorDir">
      <xdr:nvCxnSpPr>
        <xdr:cNvPr id="6919" name="DalekColDir04">
          <a:extLst>
            <a:ext uri="{FF2B5EF4-FFF2-40B4-BE49-F238E27FC236}">
              <a16:creationId xmlns:a16="http://schemas.microsoft.com/office/drawing/2014/main" id="{C2AA6283-42BA-421A-B3D1-4FA5F9EB8016}"/>
            </a:ext>
          </a:extLst>
        </xdr:cNvPr>
        <xdr:cNvCxnSpPr/>
      </xdr:nvCxnSpPr>
      <xdr:spPr>
        <a:xfrm flipV="1">
          <a:off x="170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88900</xdr:colOff>
      <xdr:row>1</xdr:row>
      <xdr:rowOff>73025</xdr:rowOff>
    </xdr:from>
    <xdr:to>
      <xdr:col>2</xdr:col>
      <xdr:colOff>279400</xdr:colOff>
      <xdr:row>2</xdr:row>
      <xdr:rowOff>82550</xdr:rowOff>
    </xdr:to>
    <xdr:sp macro="SetLED" textlink="">
      <xdr:nvSpPr>
        <xdr:cNvPr id="6920" name="DalekLED104">
          <a:extLst>
            <a:ext uri="{FF2B5EF4-FFF2-40B4-BE49-F238E27FC236}">
              <a16:creationId xmlns:a16="http://schemas.microsoft.com/office/drawing/2014/main" id="{6721A2FB-4EC2-4B72-B526-01EC75CC2236}"/>
            </a:ext>
          </a:extLst>
        </xdr:cNvPr>
        <xdr:cNvSpPr/>
      </xdr:nvSpPr>
      <xdr:spPr>
        <a:xfrm>
          <a:off x="146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2</xdr:row>
      <xdr:rowOff>146050</xdr:rowOff>
    </xdr:from>
    <xdr:to>
      <xdr:col>2</xdr:col>
      <xdr:colOff>279400</xdr:colOff>
      <xdr:row>3</xdr:row>
      <xdr:rowOff>155575</xdr:rowOff>
    </xdr:to>
    <xdr:sp macro="SetLED" textlink="">
      <xdr:nvSpPr>
        <xdr:cNvPr id="6921" name="DalekLED204">
          <a:extLst>
            <a:ext uri="{FF2B5EF4-FFF2-40B4-BE49-F238E27FC236}">
              <a16:creationId xmlns:a16="http://schemas.microsoft.com/office/drawing/2014/main" id="{E604025F-4473-4928-AF55-37AF0B9633E2}"/>
            </a:ext>
          </a:extLst>
        </xdr:cNvPr>
        <xdr:cNvSpPr/>
      </xdr:nvSpPr>
      <xdr:spPr>
        <a:xfrm>
          <a:off x="146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4</xdr:row>
      <xdr:rowOff>38100</xdr:rowOff>
    </xdr:from>
    <xdr:to>
      <xdr:col>2</xdr:col>
      <xdr:colOff>279400</xdr:colOff>
      <xdr:row>5</xdr:row>
      <xdr:rowOff>47625</xdr:rowOff>
    </xdr:to>
    <xdr:sp macro="SetLED" textlink="">
      <xdr:nvSpPr>
        <xdr:cNvPr id="6922" name="DalekLED304">
          <a:extLst>
            <a:ext uri="{FF2B5EF4-FFF2-40B4-BE49-F238E27FC236}">
              <a16:creationId xmlns:a16="http://schemas.microsoft.com/office/drawing/2014/main" id="{C4227858-932C-4D9C-9314-13DDAFE0EB3F}"/>
            </a:ext>
          </a:extLst>
        </xdr:cNvPr>
        <xdr:cNvSpPr/>
      </xdr:nvSpPr>
      <xdr:spPr>
        <a:xfrm>
          <a:off x="146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5</xdr:row>
      <xdr:rowOff>111125</xdr:rowOff>
    </xdr:from>
    <xdr:to>
      <xdr:col>2</xdr:col>
      <xdr:colOff>279400</xdr:colOff>
      <xdr:row>6</xdr:row>
      <xdr:rowOff>120650</xdr:rowOff>
    </xdr:to>
    <xdr:sp macro="SetLED" textlink="">
      <xdr:nvSpPr>
        <xdr:cNvPr id="6923" name="DalekLED404">
          <a:extLst>
            <a:ext uri="{FF2B5EF4-FFF2-40B4-BE49-F238E27FC236}">
              <a16:creationId xmlns:a16="http://schemas.microsoft.com/office/drawing/2014/main" id="{B65C1AFA-10B7-474D-9803-C0671E31BEC6}"/>
            </a:ext>
          </a:extLst>
        </xdr:cNvPr>
        <xdr:cNvSpPr/>
      </xdr:nvSpPr>
      <xdr:spPr>
        <a:xfrm>
          <a:off x="146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7</xdr:row>
      <xdr:rowOff>3175</xdr:rowOff>
    </xdr:from>
    <xdr:to>
      <xdr:col>2</xdr:col>
      <xdr:colOff>279400</xdr:colOff>
      <xdr:row>8</xdr:row>
      <xdr:rowOff>12700</xdr:rowOff>
    </xdr:to>
    <xdr:sp macro="SetLED" textlink="">
      <xdr:nvSpPr>
        <xdr:cNvPr id="6924" name="DalekLED504">
          <a:extLst>
            <a:ext uri="{FF2B5EF4-FFF2-40B4-BE49-F238E27FC236}">
              <a16:creationId xmlns:a16="http://schemas.microsoft.com/office/drawing/2014/main" id="{0E77D8DB-6E3A-4327-9B41-CD1F6E739880}"/>
            </a:ext>
          </a:extLst>
        </xdr:cNvPr>
        <xdr:cNvSpPr/>
      </xdr:nvSpPr>
      <xdr:spPr>
        <a:xfrm>
          <a:off x="146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381000</xdr:colOff>
      <xdr:row>1</xdr:row>
      <xdr:rowOff>41275</xdr:rowOff>
    </xdr:from>
    <xdr:to>
      <xdr:col>3</xdr:col>
      <xdr:colOff>76200</xdr:colOff>
      <xdr:row>8</xdr:row>
      <xdr:rowOff>44450</xdr:rowOff>
    </xdr:to>
    <xdr:sp macro="SetHorDir" textlink="">
      <xdr:nvSpPr>
        <xdr:cNvPr id="6925" name="DalekCol05">
          <a:extLst>
            <a:ext uri="{FF2B5EF4-FFF2-40B4-BE49-F238E27FC236}">
              <a16:creationId xmlns:a16="http://schemas.microsoft.com/office/drawing/2014/main" id="{9021BD22-298B-4233-9D96-FEB8E94B27CB}"/>
            </a:ext>
          </a:extLst>
        </xdr:cNvPr>
        <xdr:cNvSpPr/>
      </xdr:nvSpPr>
      <xdr:spPr>
        <a:xfrm>
          <a:off x="175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25400</xdr:colOff>
      <xdr:row>6</xdr:row>
      <xdr:rowOff>57150</xdr:rowOff>
    </xdr:from>
    <xdr:to>
      <xdr:col>3</xdr:col>
      <xdr:colOff>25400</xdr:colOff>
      <xdr:row>8</xdr:row>
      <xdr:rowOff>76200</xdr:rowOff>
    </xdr:to>
    <xdr:cxnSp macro="SetHorDir">
      <xdr:nvCxnSpPr>
        <xdr:cNvPr id="6926" name="DalekColDir05">
          <a:extLst>
            <a:ext uri="{FF2B5EF4-FFF2-40B4-BE49-F238E27FC236}">
              <a16:creationId xmlns:a16="http://schemas.microsoft.com/office/drawing/2014/main" id="{E7D7030D-AE5D-4FD6-96EB-987378913B60}"/>
            </a:ext>
          </a:extLst>
        </xdr:cNvPr>
        <xdr:cNvCxnSpPr/>
      </xdr:nvCxnSpPr>
      <xdr:spPr>
        <a:xfrm flipV="1">
          <a:off x="208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469900</xdr:colOff>
      <xdr:row>1</xdr:row>
      <xdr:rowOff>73025</xdr:rowOff>
    </xdr:from>
    <xdr:to>
      <xdr:col>2</xdr:col>
      <xdr:colOff>660400</xdr:colOff>
      <xdr:row>2</xdr:row>
      <xdr:rowOff>82550</xdr:rowOff>
    </xdr:to>
    <xdr:sp macro="SetLED" textlink="">
      <xdr:nvSpPr>
        <xdr:cNvPr id="6927" name="DalekLED105">
          <a:extLst>
            <a:ext uri="{FF2B5EF4-FFF2-40B4-BE49-F238E27FC236}">
              <a16:creationId xmlns:a16="http://schemas.microsoft.com/office/drawing/2014/main" id="{B505F3C4-5C0C-400A-A599-C0DFC775D7F7}"/>
            </a:ext>
          </a:extLst>
        </xdr:cNvPr>
        <xdr:cNvSpPr/>
      </xdr:nvSpPr>
      <xdr:spPr>
        <a:xfrm>
          <a:off x="184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2</xdr:row>
      <xdr:rowOff>146050</xdr:rowOff>
    </xdr:from>
    <xdr:to>
      <xdr:col>2</xdr:col>
      <xdr:colOff>660400</xdr:colOff>
      <xdr:row>3</xdr:row>
      <xdr:rowOff>155575</xdr:rowOff>
    </xdr:to>
    <xdr:sp macro="SetLED" textlink="">
      <xdr:nvSpPr>
        <xdr:cNvPr id="6928" name="DalekLED205">
          <a:extLst>
            <a:ext uri="{FF2B5EF4-FFF2-40B4-BE49-F238E27FC236}">
              <a16:creationId xmlns:a16="http://schemas.microsoft.com/office/drawing/2014/main" id="{F20DFF97-4857-4DBB-9AB3-001A47B39EA7}"/>
            </a:ext>
          </a:extLst>
        </xdr:cNvPr>
        <xdr:cNvSpPr/>
      </xdr:nvSpPr>
      <xdr:spPr>
        <a:xfrm>
          <a:off x="184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4</xdr:row>
      <xdr:rowOff>38100</xdr:rowOff>
    </xdr:from>
    <xdr:to>
      <xdr:col>2</xdr:col>
      <xdr:colOff>660400</xdr:colOff>
      <xdr:row>5</xdr:row>
      <xdr:rowOff>47625</xdr:rowOff>
    </xdr:to>
    <xdr:sp macro="SetLED" textlink="">
      <xdr:nvSpPr>
        <xdr:cNvPr id="6929" name="DalekLED305">
          <a:extLst>
            <a:ext uri="{FF2B5EF4-FFF2-40B4-BE49-F238E27FC236}">
              <a16:creationId xmlns:a16="http://schemas.microsoft.com/office/drawing/2014/main" id="{71C9EB87-612F-401D-86FC-B91BA91E9FAE}"/>
            </a:ext>
          </a:extLst>
        </xdr:cNvPr>
        <xdr:cNvSpPr/>
      </xdr:nvSpPr>
      <xdr:spPr>
        <a:xfrm>
          <a:off x="184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5</xdr:row>
      <xdr:rowOff>111125</xdr:rowOff>
    </xdr:from>
    <xdr:to>
      <xdr:col>2</xdr:col>
      <xdr:colOff>660400</xdr:colOff>
      <xdr:row>6</xdr:row>
      <xdr:rowOff>120650</xdr:rowOff>
    </xdr:to>
    <xdr:sp macro="SetLED" textlink="">
      <xdr:nvSpPr>
        <xdr:cNvPr id="6930" name="DalekLED405">
          <a:extLst>
            <a:ext uri="{FF2B5EF4-FFF2-40B4-BE49-F238E27FC236}">
              <a16:creationId xmlns:a16="http://schemas.microsoft.com/office/drawing/2014/main" id="{239112FD-5DA2-41FD-8E26-56F535863001}"/>
            </a:ext>
          </a:extLst>
        </xdr:cNvPr>
        <xdr:cNvSpPr/>
      </xdr:nvSpPr>
      <xdr:spPr>
        <a:xfrm>
          <a:off x="184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7</xdr:row>
      <xdr:rowOff>3175</xdr:rowOff>
    </xdr:from>
    <xdr:to>
      <xdr:col>2</xdr:col>
      <xdr:colOff>660400</xdr:colOff>
      <xdr:row>8</xdr:row>
      <xdr:rowOff>12700</xdr:rowOff>
    </xdr:to>
    <xdr:sp macro="SetLED" textlink="">
      <xdr:nvSpPr>
        <xdr:cNvPr id="6931" name="DalekLED505">
          <a:extLst>
            <a:ext uri="{FF2B5EF4-FFF2-40B4-BE49-F238E27FC236}">
              <a16:creationId xmlns:a16="http://schemas.microsoft.com/office/drawing/2014/main" id="{667033F9-4E55-4EAC-9FB1-27B2F9782B49}"/>
            </a:ext>
          </a:extLst>
        </xdr:cNvPr>
        <xdr:cNvSpPr/>
      </xdr:nvSpPr>
      <xdr:spPr>
        <a:xfrm>
          <a:off x="184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76200</xdr:colOff>
      <xdr:row>1</xdr:row>
      <xdr:rowOff>41275</xdr:rowOff>
    </xdr:from>
    <xdr:to>
      <xdr:col>3</xdr:col>
      <xdr:colOff>457200</xdr:colOff>
      <xdr:row>8</xdr:row>
      <xdr:rowOff>44450</xdr:rowOff>
    </xdr:to>
    <xdr:sp macro="SetHorDir" textlink="">
      <xdr:nvSpPr>
        <xdr:cNvPr id="6933" name="DalekCol06">
          <a:extLst>
            <a:ext uri="{FF2B5EF4-FFF2-40B4-BE49-F238E27FC236}">
              <a16:creationId xmlns:a16="http://schemas.microsoft.com/office/drawing/2014/main" id="{6CE3D636-AEE4-441E-ADE1-EFCD018F2DC0}"/>
            </a:ext>
          </a:extLst>
        </xdr:cNvPr>
        <xdr:cNvSpPr/>
      </xdr:nvSpPr>
      <xdr:spPr>
        <a:xfrm>
          <a:off x="213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406400</xdr:colOff>
      <xdr:row>6</xdr:row>
      <xdr:rowOff>57150</xdr:rowOff>
    </xdr:from>
    <xdr:to>
      <xdr:col>3</xdr:col>
      <xdr:colOff>406400</xdr:colOff>
      <xdr:row>8</xdr:row>
      <xdr:rowOff>76200</xdr:rowOff>
    </xdr:to>
    <xdr:cxnSp macro="SetHorDir">
      <xdr:nvCxnSpPr>
        <xdr:cNvPr id="6934" name="DalekColDir06">
          <a:extLst>
            <a:ext uri="{FF2B5EF4-FFF2-40B4-BE49-F238E27FC236}">
              <a16:creationId xmlns:a16="http://schemas.microsoft.com/office/drawing/2014/main" id="{DBCEAEDF-8B63-45D8-8CA7-E5975671CB41}"/>
            </a:ext>
          </a:extLst>
        </xdr:cNvPr>
        <xdr:cNvCxnSpPr/>
      </xdr:nvCxnSpPr>
      <xdr:spPr>
        <a:xfrm flipV="1">
          <a:off x="246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165100</xdr:colOff>
      <xdr:row>1</xdr:row>
      <xdr:rowOff>73025</xdr:rowOff>
    </xdr:from>
    <xdr:to>
      <xdr:col>3</xdr:col>
      <xdr:colOff>355600</xdr:colOff>
      <xdr:row>2</xdr:row>
      <xdr:rowOff>82550</xdr:rowOff>
    </xdr:to>
    <xdr:sp macro="SetLED" textlink="">
      <xdr:nvSpPr>
        <xdr:cNvPr id="6938" name="DalekLED106">
          <a:extLst>
            <a:ext uri="{FF2B5EF4-FFF2-40B4-BE49-F238E27FC236}">
              <a16:creationId xmlns:a16="http://schemas.microsoft.com/office/drawing/2014/main" id="{48754929-6BBE-4AFB-8C0A-4AE639F089C8}"/>
            </a:ext>
          </a:extLst>
        </xdr:cNvPr>
        <xdr:cNvSpPr/>
      </xdr:nvSpPr>
      <xdr:spPr>
        <a:xfrm>
          <a:off x="222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2</xdr:row>
      <xdr:rowOff>146050</xdr:rowOff>
    </xdr:from>
    <xdr:to>
      <xdr:col>3</xdr:col>
      <xdr:colOff>355600</xdr:colOff>
      <xdr:row>3</xdr:row>
      <xdr:rowOff>155575</xdr:rowOff>
    </xdr:to>
    <xdr:sp macro="SetLED" textlink="">
      <xdr:nvSpPr>
        <xdr:cNvPr id="6940" name="DalekLED206">
          <a:extLst>
            <a:ext uri="{FF2B5EF4-FFF2-40B4-BE49-F238E27FC236}">
              <a16:creationId xmlns:a16="http://schemas.microsoft.com/office/drawing/2014/main" id="{E7B2697C-4044-43C7-B6C0-B53CF1A438C9}"/>
            </a:ext>
          </a:extLst>
        </xdr:cNvPr>
        <xdr:cNvSpPr/>
      </xdr:nvSpPr>
      <xdr:spPr>
        <a:xfrm>
          <a:off x="222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4</xdr:row>
      <xdr:rowOff>38100</xdr:rowOff>
    </xdr:from>
    <xdr:to>
      <xdr:col>3</xdr:col>
      <xdr:colOff>355600</xdr:colOff>
      <xdr:row>5</xdr:row>
      <xdr:rowOff>47625</xdr:rowOff>
    </xdr:to>
    <xdr:sp macro="SetLED" textlink="">
      <xdr:nvSpPr>
        <xdr:cNvPr id="6941" name="DalekLED306">
          <a:extLst>
            <a:ext uri="{FF2B5EF4-FFF2-40B4-BE49-F238E27FC236}">
              <a16:creationId xmlns:a16="http://schemas.microsoft.com/office/drawing/2014/main" id="{51819FE3-4D4B-48AE-9A83-2BF1B75B8372}"/>
            </a:ext>
          </a:extLst>
        </xdr:cNvPr>
        <xdr:cNvSpPr/>
      </xdr:nvSpPr>
      <xdr:spPr>
        <a:xfrm>
          <a:off x="222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5</xdr:row>
      <xdr:rowOff>111125</xdr:rowOff>
    </xdr:from>
    <xdr:to>
      <xdr:col>3</xdr:col>
      <xdr:colOff>355600</xdr:colOff>
      <xdr:row>6</xdr:row>
      <xdr:rowOff>120650</xdr:rowOff>
    </xdr:to>
    <xdr:sp macro="SetLED" textlink="">
      <xdr:nvSpPr>
        <xdr:cNvPr id="6942" name="DalekLED406">
          <a:extLst>
            <a:ext uri="{FF2B5EF4-FFF2-40B4-BE49-F238E27FC236}">
              <a16:creationId xmlns:a16="http://schemas.microsoft.com/office/drawing/2014/main" id="{6BB5678F-F27D-4F60-BE61-667E4A4D982E}"/>
            </a:ext>
          </a:extLst>
        </xdr:cNvPr>
        <xdr:cNvSpPr/>
      </xdr:nvSpPr>
      <xdr:spPr>
        <a:xfrm>
          <a:off x="222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7</xdr:row>
      <xdr:rowOff>3175</xdr:rowOff>
    </xdr:from>
    <xdr:to>
      <xdr:col>3</xdr:col>
      <xdr:colOff>355600</xdr:colOff>
      <xdr:row>8</xdr:row>
      <xdr:rowOff>12700</xdr:rowOff>
    </xdr:to>
    <xdr:sp macro="SetLED" textlink="">
      <xdr:nvSpPr>
        <xdr:cNvPr id="6943" name="DalekLED506">
          <a:extLst>
            <a:ext uri="{FF2B5EF4-FFF2-40B4-BE49-F238E27FC236}">
              <a16:creationId xmlns:a16="http://schemas.microsoft.com/office/drawing/2014/main" id="{B38714CD-3F3B-473A-BFE4-ABD7C5F5C766}"/>
            </a:ext>
          </a:extLst>
        </xdr:cNvPr>
        <xdr:cNvSpPr/>
      </xdr:nvSpPr>
      <xdr:spPr>
        <a:xfrm>
          <a:off x="222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457200</xdr:colOff>
      <xdr:row>1</xdr:row>
      <xdr:rowOff>41275</xdr:rowOff>
    </xdr:from>
    <xdr:to>
      <xdr:col>4</xdr:col>
      <xdr:colOff>152400</xdr:colOff>
      <xdr:row>8</xdr:row>
      <xdr:rowOff>44450</xdr:rowOff>
    </xdr:to>
    <xdr:sp macro="SetHorDir" textlink="">
      <xdr:nvSpPr>
        <xdr:cNvPr id="17952" name="DalekCol07">
          <a:extLst>
            <a:ext uri="{FF2B5EF4-FFF2-40B4-BE49-F238E27FC236}">
              <a16:creationId xmlns:a16="http://schemas.microsoft.com/office/drawing/2014/main" id="{96D8863F-34FE-406C-8D35-BCE61CDC81C3}"/>
            </a:ext>
          </a:extLst>
        </xdr:cNvPr>
        <xdr:cNvSpPr/>
      </xdr:nvSpPr>
      <xdr:spPr>
        <a:xfrm>
          <a:off x="251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101600</xdr:colOff>
      <xdr:row>6</xdr:row>
      <xdr:rowOff>57150</xdr:rowOff>
    </xdr:from>
    <xdr:to>
      <xdr:col>4</xdr:col>
      <xdr:colOff>101600</xdr:colOff>
      <xdr:row>8</xdr:row>
      <xdr:rowOff>76200</xdr:rowOff>
    </xdr:to>
    <xdr:cxnSp macro="SetHorDir">
      <xdr:nvCxnSpPr>
        <xdr:cNvPr id="17953" name="DalekColDir07">
          <a:extLst>
            <a:ext uri="{FF2B5EF4-FFF2-40B4-BE49-F238E27FC236}">
              <a16:creationId xmlns:a16="http://schemas.microsoft.com/office/drawing/2014/main" id="{8B17E691-EE25-4980-82EC-94CF616438AA}"/>
            </a:ext>
          </a:extLst>
        </xdr:cNvPr>
        <xdr:cNvCxnSpPr/>
      </xdr:nvCxnSpPr>
      <xdr:spPr>
        <a:xfrm flipV="1">
          <a:off x="284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546100</xdr:colOff>
      <xdr:row>1</xdr:row>
      <xdr:rowOff>73025</xdr:rowOff>
    </xdr:from>
    <xdr:to>
      <xdr:col>4</xdr:col>
      <xdr:colOff>50800</xdr:colOff>
      <xdr:row>2</xdr:row>
      <xdr:rowOff>82550</xdr:rowOff>
    </xdr:to>
    <xdr:sp macro="SetLED" textlink="">
      <xdr:nvSpPr>
        <xdr:cNvPr id="17954" name="DalekLED107">
          <a:extLst>
            <a:ext uri="{FF2B5EF4-FFF2-40B4-BE49-F238E27FC236}">
              <a16:creationId xmlns:a16="http://schemas.microsoft.com/office/drawing/2014/main" id="{2AE795A9-C468-4C48-8342-A55C61CC6A0E}"/>
            </a:ext>
          </a:extLst>
        </xdr:cNvPr>
        <xdr:cNvSpPr/>
      </xdr:nvSpPr>
      <xdr:spPr>
        <a:xfrm>
          <a:off x="260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2</xdr:row>
      <xdr:rowOff>146050</xdr:rowOff>
    </xdr:from>
    <xdr:to>
      <xdr:col>4</xdr:col>
      <xdr:colOff>50800</xdr:colOff>
      <xdr:row>3</xdr:row>
      <xdr:rowOff>155575</xdr:rowOff>
    </xdr:to>
    <xdr:sp macro="SetLED" textlink="">
      <xdr:nvSpPr>
        <xdr:cNvPr id="17955" name="DalekLED207">
          <a:extLst>
            <a:ext uri="{FF2B5EF4-FFF2-40B4-BE49-F238E27FC236}">
              <a16:creationId xmlns:a16="http://schemas.microsoft.com/office/drawing/2014/main" id="{80647423-732A-4F0D-BC40-5D4E120AAC16}"/>
            </a:ext>
          </a:extLst>
        </xdr:cNvPr>
        <xdr:cNvSpPr/>
      </xdr:nvSpPr>
      <xdr:spPr>
        <a:xfrm>
          <a:off x="260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4</xdr:row>
      <xdr:rowOff>38100</xdr:rowOff>
    </xdr:from>
    <xdr:to>
      <xdr:col>4</xdr:col>
      <xdr:colOff>50800</xdr:colOff>
      <xdr:row>5</xdr:row>
      <xdr:rowOff>47625</xdr:rowOff>
    </xdr:to>
    <xdr:sp macro="SetLED" textlink="">
      <xdr:nvSpPr>
        <xdr:cNvPr id="17956" name="DalekLED307">
          <a:extLst>
            <a:ext uri="{FF2B5EF4-FFF2-40B4-BE49-F238E27FC236}">
              <a16:creationId xmlns:a16="http://schemas.microsoft.com/office/drawing/2014/main" id="{3C98B34B-7AA5-4BCC-AAC3-6648FC63C33C}"/>
            </a:ext>
          </a:extLst>
        </xdr:cNvPr>
        <xdr:cNvSpPr/>
      </xdr:nvSpPr>
      <xdr:spPr>
        <a:xfrm>
          <a:off x="260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5</xdr:row>
      <xdr:rowOff>111125</xdr:rowOff>
    </xdr:from>
    <xdr:to>
      <xdr:col>4</xdr:col>
      <xdr:colOff>50800</xdr:colOff>
      <xdr:row>6</xdr:row>
      <xdr:rowOff>120650</xdr:rowOff>
    </xdr:to>
    <xdr:sp macro="SetLED" textlink="">
      <xdr:nvSpPr>
        <xdr:cNvPr id="17957" name="DalekLED407">
          <a:extLst>
            <a:ext uri="{FF2B5EF4-FFF2-40B4-BE49-F238E27FC236}">
              <a16:creationId xmlns:a16="http://schemas.microsoft.com/office/drawing/2014/main" id="{2BEF328B-CC04-49DF-A32E-B43CD20309A4}"/>
            </a:ext>
          </a:extLst>
        </xdr:cNvPr>
        <xdr:cNvSpPr/>
      </xdr:nvSpPr>
      <xdr:spPr>
        <a:xfrm>
          <a:off x="260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7</xdr:row>
      <xdr:rowOff>3175</xdr:rowOff>
    </xdr:from>
    <xdr:to>
      <xdr:col>4</xdr:col>
      <xdr:colOff>50800</xdr:colOff>
      <xdr:row>8</xdr:row>
      <xdr:rowOff>12700</xdr:rowOff>
    </xdr:to>
    <xdr:sp macro="SetLED" textlink="">
      <xdr:nvSpPr>
        <xdr:cNvPr id="17958" name="DalekLED507">
          <a:extLst>
            <a:ext uri="{FF2B5EF4-FFF2-40B4-BE49-F238E27FC236}">
              <a16:creationId xmlns:a16="http://schemas.microsoft.com/office/drawing/2014/main" id="{5C56B848-9303-4365-92A9-C39508842262}"/>
            </a:ext>
          </a:extLst>
        </xdr:cNvPr>
        <xdr:cNvSpPr/>
      </xdr:nvSpPr>
      <xdr:spPr>
        <a:xfrm>
          <a:off x="260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152400</xdr:colOff>
      <xdr:row>1</xdr:row>
      <xdr:rowOff>41275</xdr:rowOff>
    </xdr:from>
    <xdr:to>
      <xdr:col>4</xdr:col>
      <xdr:colOff>533400</xdr:colOff>
      <xdr:row>8</xdr:row>
      <xdr:rowOff>44450</xdr:rowOff>
    </xdr:to>
    <xdr:sp macro="SetHorDir" textlink="">
      <xdr:nvSpPr>
        <xdr:cNvPr id="17960" name="DalekCol08">
          <a:extLst>
            <a:ext uri="{FF2B5EF4-FFF2-40B4-BE49-F238E27FC236}">
              <a16:creationId xmlns:a16="http://schemas.microsoft.com/office/drawing/2014/main" id="{1445B39C-89D4-4F9E-85C5-A583EE77AA4B}"/>
            </a:ext>
          </a:extLst>
        </xdr:cNvPr>
        <xdr:cNvSpPr/>
      </xdr:nvSpPr>
      <xdr:spPr>
        <a:xfrm>
          <a:off x="289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482600</xdr:colOff>
      <xdr:row>6</xdr:row>
      <xdr:rowOff>57150</xdr:rowOff>
    </xdr:from>
    <xdr:to>
      <xdr:col>4</xdr:col>
      <xdr:colOff>482600</xdr:colOff>
      <xdr:row>8</xdr:row>
      <xdr:rowOff>76200</xdr:rowOff>
    </xdr:to>
    <xdr:cxnSp macro="SetHorDir">
      <xdr:nvCxnSpPr>
        <xdr:cNvPr id="17961" name="DalekColDir08">
          <a:extLst>
            <a:ext uri="{FF2B5EF4-FFF2-40B4-BE49-F238E27FC236}">
              <a16:creationId xmlns:a16="http://schemas.microsoft.com/office/drawing/2014/main" id="{C2C3F01E-ABBB-499B-ACB2-2451338D6F3B}"/>
            </a:ext>
          </a:extLst>
        </xdr:cNvPr>
        <xdr:cNvCxnSpPr/>
      </xdr:nvCxnSpPr>
      <xdr:spPr>
        <a:xfrm flipV="1">
          <a:off x="322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1</xdr:row>
      <xdr:rowOff>73025</xdr:rowOff>
    </xdr:from>
    <xdr:to>
      <xdr:col>4</xdr:col>
      <xdr:colOff>431800</xdr:colOff>
      <xdr:row>2</xdr:row>
      <xdr:rowOff>82550</xdr:rowOff>
    </xdr:to>
    <xdr:sp macro="SetLED" textlink="">
      <xdr:nvSpPr>
        <xdr:cNvPr id="17962" name="DalekLED108">
          <a:extLst>
            <a:ext uri="{FF2B5EF4-FFF2-40B4-BE49-F238E27FC236}">
              <a16:creationId xmlns:a16="http://schemas.microsoft.com/office/drawing/2014/main" id="{A514A66C-E6C5-4071-9723-CBBB11F3FF3F}"/>
            </a:ext>
          </a:extLst>
        </xdr:cNvPr>
        <xdr:cNvSpPr/>
      </xdr:nvSpPr>
      <xdr:spPr>
        <a:xfrm>
          <a:off x="298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2</xdr:row>
      <xdr:rowOff>146050</xdr:rowOff>
    </xdr:from>
    <xdr:to>
      <xdr:col>4</xdr:col>
      <xdr:colOff>431800</xdr:colOff>
      <xdr:row>3</xdr:row>
      <xdr:rowOff>155575</xdr:rowOff>
    </xdr:to>
    <xdr:sp macro="SetLED" textlink="">
      <xdr:nvSpPr>
        <xdr:cNvPr id="17963" name="DalekLED208">
          <a:extLst>
            <a:ext uri="{FF2B5EF4-FFF2-40B4-BE49-F238E27FC236}">
              <a16:creationId xmlns:a16="http://schemas.microsoft.com/office/drawing/2014/main" id="{1DC48493-DFF0-4ABE-BDA7-2C51BF03A1D0}"/>
            </a:ext>
          </a:extLst>
        </xdr:cNvPr>
        <xdr:cNvSpPr/>
      </xdr:nvSpPr>
      <xdr:spPr>
        <a:xfrm>
          <a:off x="298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4</xdr:row>
      <xdr:rowOff>38100</xdr:rowOff>
    </xdr:from>
    <xdr:to>
      <xdr:col>4</xdr:col>
      <xdr:colOff>431800</xdr:colOff>
      <xdr:row>5</xdr:row>
      <xdr:rowOff>47625</xdr:rowOff>
    </xdr:to>
    <xdr:sp macro="SetLED" textlink="">
      <xdr:nvSpPr>
        <xdr:cNvPr id="17964" name="DalekLED308">
          <a:extLst>
            <a:ext uri="{FF2B5EF4-FFF2-40B4-BE49-F238E27FC236}">
              <a16:creationId xmlns:a16="http://schemas.microsoft.com/office/drawing/2014/main" id="{2BEBFF8F-EB5E-4A25-B96D-FB5D80830BB7}"/>
            </a:ext>
          </a:extLst>
        </xdr:cNvPr>
        <xdr:cNvSpPr/>
      </xdr:nvSpPr>
      <xdr:spPr>
        <a:xfrm>
          <a:off x="298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5</xdr:row>
      <xdr:rowOff>111125</xdr:rowOff>
    </xdr:from>
    <xdr:to>
      <xdr:col>4</xdr:col>
      <xdr:colOff>431800</xdr:colOff>
      <xdr:row>6</xdr:row>
      <xdr:rowOff>120650</xdr:rowOff>
    </xdr:to>
    <xdr:sp macro="SetLED" textlink="">
      <xdr:nvSpPr>
        <xdr:cNvPr id="17965" name="DalekLED408">
          <a:extLst>
            <a:ext uri="{FF2B5EF4-FFF2-40B4-BE49-F238E27FC236}">
              <a16:creationId xmlns:a16="http://schemas.microsoft.com/office/drawing/2014/main" id="{3E1C43B8-2C6F-4BCC-A11C-B5E02CD83933}"/>
            </a:ext>
          </a:extLst>
        </xdr:cNvPr>
        <xdr:cNvSpPr/>
      </xdr:nvSpPr>
      <xdr:spPr>
        <a:xfrm>
          <a:off x="298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7</xdr:row>
      <xdr:rowOff>3175</xdr:rowOff>
    </xdr:from>
    <xdr:to>
      <xdr:col>4</xdr:col>
      <xdr:colOff>431800</xdr:colOff>
      <xdr:row>8</xdr:row>
      <xdr:rowOff>12700</xdr:rowOff>
    </xdr:to>
    <xdr:sp macro="SetLED" textlink="">
      <xdr:nvSpPr>
        <xdr:cNvPr id="17966" name="DalekLED508">
          <a:extLst>
            <a:ext uri="{FF2B5EF4-FFF2-40B4-BE49-F238E27FC236}">
              <a16:creationId xmlns:a16="http://schemas.microsoft.com/office/drawing/2014/main" id="{786ADE6D-5628-4810-A75E-3EB8466024CD}"/>
            </a:ext>
          </a:extLst>
        </xdr:cNvPr>
        <xdr:cNvSpPr/>
      </xdr:nvSpPr>
      <xdr:spPr>
        <a:xfrm>
          <a:off x="298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533400</xdr:colOff>
      <xdr:row>1</xdr:row>
      <xdr:rowOff>41275</xdr:rowOff>
    </xdr:from>
    <xdr:to>
      <xdr:col>5</xdr:col>
      <xdr:colOff>228600</xdr:colOff>
      <xdr:row>8</xdr:row>
      <xdr:rowOff>44450</xdr:rowOff>
    </xdr:to>
    <xdr:sp macro="SetHorDir" textlink="">
      <xdr:nvSpPr>
        <xdr:cNvPr id="17967" name="DalekCol09">
          <a:extLst>
            <a:ext uri="{FF2B5EF4-FFF2-40B4-BE49-F238E27FC236}">
              <a16:creationId xmlns:a16="http://schemas.microsoft.com/office/drawing/2014/main" id="{A469B4E5-6445-4EAB-8F53-A34013EF58C5}"/>
            </a:ext>
          </a:extLst>
        </xdr:cNvPr>
        <xdr:cNvSpPr/>
      </xdr:nvSpPr>
      <xdr:spPr>
        <a:xfrm>
          <a:off x="327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177800</xdr:colOff>
      <xdr:row>6</xdr:row>
      <xdr:rowOff>57150</xdr:rowOff>
    </xdr:from>
    <xdr:to>
      <xdr:col>5</xdr:col>
      <xdr:colOff>177800</xdr:colOff>
      <xdr:row>8</xdr:row>
      <xdr:rowOff>76200</xdr:rowOff>
    </xdr:to>
    <xdr:cxnSp macro="SetHorDir">
      <xdr:nvCxnSpPr>
        <xdr:cNvPr id="17968" name="DalekColDir09">
          <a:extLst>
            <a:ext uri="{FF2B5EF4-FFF2-40B4-BE49-F238E27FC236}">
              <a16:creationId xmlns:a16="http://schemas.microsoft.com/office/drawing/2014/main" id="{595E3E0F-1EB7-428D-843A-11DD77041619}"/>
            </a:ext>
          </a:extLst>
        </xdr:cNvPr>
        <xdr:cNvCxnSpPr/>
      </xdr:nvCxnSpPr>
      <xdr:spPr>
        <a:xfrm flipV="1">
          <a:off x="360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622300</xdr:colOff>
      <xdr:row>1</xdr:row>
      <xdr:rowOff>73025</xdr:rowOff>
    </xdr:from>
    <xdr:to>
      <xdr:col>5</xdr:col>
      <xdr:colOff>127000</xdr:colOff>
      <xdr:row>2</xdr:row>
      <xdr:rowOff>82550</xdr:rowOff>
    </xdr:to>
    <xdr:sp macro="SetLED" textlink="">
      <xdr:nvSpPr>
        <xdr:cNvPr id="17969" name="DalekLED109">
          <a:extLst>
            <a:ext uri="{FF2B5EF4-FFF2-40B4-BE49-F238E27FC236}">
              <a16:creationId xmlns:a16="http://schemas.microsoft.com/office/drawing/2014/main" id="{86F60A4B-2607-4B1F-ACDA-8C0A96CC7401}"/>
            </a:ext>
          </a:extLst>
        </xdr:cNvPr>
        <xdr:cNvSpPr/>
      </xdr:nvSpPr>
      <xdr:spPr>
        <a:xfrm>
          <a:off x="336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2</xdr:row>
      <xdr:rowOff>146050</xdr:rowOff>
    </xdr:from>
    <xdr:to>
      <xdr:col>5</xdr:col>
      <xdr:colOff>127000</xdr:colOff>
      <xdr:row>3</xdr:row>
      <xdr:rowOff>155575</xdr:rowOff>
    </xdr:to>
    <xdr:sp macro="SetLED" textlink="">
      <xdr:nvSpPr>
        <xdr:cNvPr id="17970" name="DalekLED209">
          <a:extLst>
            <a:ext uri="{FF2B5EF4-FFF2-40B4-BE49-F238E27FC236}">
              <a16:creationId xmlns:a16="http://schemas.microsoft.com/office/drawing/2014/main" id="{11023CE9-49F4-46AF-8B7A-2D96F240509C}"/>
            </a:ext>
          </a:extLst>
        </xdr:cNvPr>
        <xdr:cNvSpPr/>
      </xdr:nvSpPr>
      <xdr:spPr>
        <a:xfrm>
          <a:off x="336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4</xdr:row>
      <xdr:rowOff>38100</xdr:rowOff>
    </xdr:from>
    <xdr:to>
      <xdr:col>5</xdr:col>
      <xdr:colOff>127000</xdr:colOff>
      <xdr:row>5</xdr:row>
      <xdr:rowOff>47625</xdr:rowOff>
    </xdr:to>
    <xdr:sp macro="SetLED" textlink="">
      <xdr:nvSpPr>
        <xdr:cNvPr id="17971" name="DalekLED309">
          <a:extLst>
            <a:ext uri="{FF2B5EF4-FFF2-40B4-BE49-F238E27FC236}">
              <a16:creationId xmlns:a16="http://schemas.microsoft.com/office/drawing/2014/main" id="{FCD241A4-F6B0-4B81-81D7-416D90E6549C}"/>
            </a:ext>
          </a:extLst>
        </xdr:cNvPr>
        <xdr:cNvSpPr/>
      </xdr:nvSpPr>
      <xdr:spPr>
        <a:xfrm>
          <a:off x="336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5</xdr:row>
      <xdr:rowOff>111125</xdr:rowOff>
    </xdr:from>
    <xdr:to>
      <xdr:col>5</xdr:col>
      <xdr:colOff>127000</xdr:colOff>
      <xdr:row>6</xdr:row>
      <xdr:rowOff>120650</xdr:rowOff>
    </xdr:to>
    <xdr:sp macro="SetLED" textlink="">
      <xdr:nvSpPr>
        <xdr:cNvPr id="17972" name="DalekLED409">
          <a:extLst>
            <a:ext uri="{FF2B5EF4-FFF2-40B4-BE49-F238E27FC236}">
              <a16:creationId xmlns:a16="http://schemas.microsoft.com/office/drawing/2014/main" id="{9B048BEC-C5F7-4782-8965-A7E804A9D7F0}"/>
            </a:ext>
          </a:extLst>
        </xdr:cNvPr>
        <xdr:cNvSpPr/>
      </xdr:nvSpPr>
      <xdr:spPr>
        <a:xfrm>
          <a:off x="336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7</xdr:row>
      <xdr:rowOff>3175</xdr:rowOff>
    </xdr:from>
    <xdr:to>
      <xdr:col>5</xdr:col>
      <xdr:colOff>127000</xdr:colOff>
      <xdr:row>8</xdr:row>
      <xdr:rowOff>12700</xdr:rowOff>
    </xdr:to>
    <xdr:sp macro="SetLED" textlink="">
      <xdr:nvSpPr>
        <xdr:cNvPr id="17973" name="DalekLED509">
          <a:extLst>
            <a:ext uri="{FF2B5EF4-FFF2-40B4-BE49-F238E27FC236}">
              <a16:creationId xmlns:a16="http://schemas.microsoft.com/office/drawing/2014/main" id="{6F20E1F7-40E9-42D5-906C-79A5C2084908}"/>
            </a:ext>
          </a:extLst>
        </xdr:cNvPr>
        <xdr:cNvSpPr/>
      </xdr:nvSpPr>
      <xdr:spPr>
        <a:xfrm>
          <a:off x="336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228600</xdr:colOff>
      <xdr:row>1</xdr:row>
      <xdr:rowOff>41275</xdr:rowOff>
    </xdr:from>
    <xdr:to>
      <xdr:col>5</xdr:col>
      <xdr:colOff>609600</xdr:colOff>
      <xdr:row>8</xdr:row>
      <xdr:rowOff>44450</xdr:rowOff>
    </xdr:to>
    <xdr:sp macro="SetHorDir" textlink="">
      <xdr:nvSpPr>
        <xdr:cNvPr id="17974" name="DalekCol10">
          <a:extLst>
            <a:ext uri="{FF2B5EF4-FFF2-40B4-BE49-F238E27FC236}">
              <a16:creationId xmlns:a16="http://schemas.microsoft.com/office/drawing/2014/main" id="{CB545B74-ADB7-4A1B-B05D-3B7770DC6C7D}"/>
            </a:ext>
          </a:extLst>
        </xdr:cNvPr>
        <xdr:cNvSpPr/>
      </xdr:nvSpPr>
      <xdr:spPr>
        <a:xfrm>
          <a:off x="365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558800</xdr:colOff>
      <xdr:row>6</xdr:row>
      <xdr:rowOff>57150</xdr:rowOff>
    </xdr:from>
    <xdr:to>
      <xdr:col>5</xdr:col>
      <xdr:colOff>558800</xdr:colOff>
      <xdr:row>8</xdr:row>
      <xdr:rowOff>76200</xdr:rowOff>
    </xdr:to>
    <xdr:cxnSp macro="SetHorDir">
      <xdr:nvCxnSpPr>
        <xdr:cNvPr id="17975" name="DalekColDir10">
          <a:extLst>
            <a:ext uri="{FF2B5EF4-FFF2-40B4-BE49-F238E27FC236}">
              <a16:creationId xmlns:a16="http://schemas.microsoft.com/office/drawing/2014/main" id="{A1B95C9D-3DFF-4321-90E4-D7FEB9A2B5B7}"/>
            </a:ext>
          </a:extLst>
        </xdr:cNvPr>
        <xdr:cNvCxnSpPr/>
      </xdr:nvCxnSpPr>
      <xdr:spPr>
        <a:xfrm flipV="1">
          <a:off x="398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xdr:row>
      <xdr:rowOff>73025</xdr:rowOff>
    </xdr:from>
    <xdr:to>
      <xdr:col>5</xdr:col>
      <xdr:colOff>508000</xdr:colOff>
      <xdr:row>2</xdr:row>
      <xdr:rowOff>82550</xdr:rowOff>
    </xdr:to>
    <xdr:sp macro="SetLED" textlink="">
      <xdr:nvSpPr>
        <xdr:cNvPr id="17976" name="DalekLED110">
          <a:extLst>
            <a:ext uri="{FF2B5EF4-FFF2-40B4-BE49-F238E27FC236}">
              <a16:creationId xmlns:a16="http://schemas.microsoft.com/office/drawing/2014/main" id="{B1FE3338-CA20-4D3A-B32F-1FDAE93F6051}"/>
            </a:ext>
          </a:extLst>
        </xdr:cNvPr>
        <xdr:cNvSpPr/>
      </xdr:nvSpPr>
      <xdr:spPr>
        <a:xfrm>
          <a:off x="374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2</xdr:row>
      <xdr:rowOff>146050</xdr:rowOff>
    </xdr:from>
    <xdr:to>
      <xdr:col>5</xdr:col>
      <xdr:colOff>508000</xdr:colOff>
      <xdr:row>3</xdr:row>
      <xdr:rowOff>155575</xdr:rowOff>
    </xdr:to>
    <xdr:sp macro="SetLED" textlink="">
      <xdr:nvSpPr>
        <xdr:cNvPr id="17977" name="DalekLED210">
          <a:extLst>
            <a:ext uri="{FF2B5EF4-FFF2-40B4-BE49-F238E27FC236}">
              <a16:creationId xmlns:a16="http://schemas.microsoft.com/office/drawing/2014/main" id="{EA43176D-B8A5-4732-BD69-846C1B65011C}"/>
            </a:ext>
          </a:extLst>
        </xdr:cNvPr>
        <xdr:cNvSpPr/>
      </xdr:nvSpPr>
      <xdr:spPr>
        <a:xfrm>
          <a:off x="374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4</xdr:row>
      <xdr:rowOff>38100</xdr:rowOff>
    </xdr:from>
    <xdr:to>
      <xdr:col>5</xdr:col>
      <xdr:colOff>508000</xdr:colOff>
      <xdr:row>5</xdr:row>
      <xdr:rowOff>47625</xdr:rowOff>
    </xdr:to>
    <xdr:sp macro="SetLED" textlink="">
      <xdr:nvSpPr>
        <xdr:cNvPr id="17978" name="DalekLED310">
          <a:extLst>
            <a:ext uri="{FF2B5EF4-FFF2-40B4-BE49-F238E27FC236}">
              <a16:creationId xmlns:a16="http://schemas.microsoft.com/office/drawing/2014/main" id="{FEA983D7-FBA9-4FD8-BFB4-CBE893FDC055}"/>
            </a:ext>
          </a:extLst>
        </xdr:cNvPr>
        <xdr:cNvSpPr/>
      </xdr:nvSpPr>
      <xdr:spPr>
        <a:xfrm>
          <a:off x="374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5</xdr:row>
      <xdr:rowOff>111125</xdr:rowOff>
    </xdr:from>
    <xdr:to>
      <xdr:col>5</xdr:col>
      <xdr:colOff>508000</xdr:colOff>
      <xdr:row>6</xdr:row>
      <xdr:rowOff>120650</xdr:rowOff>
    </xdr:to>
    <xdr:sp macro="SetLED" textlink="">
      <xdr:nvSpPr>
        <xdr:cNvPr id="17979" name="DalekLED410">
          <a:extLst>
            <a:ext uri="{FF2B5EF4-FFF2-40B4-BE49-F238E27FC236}">
              <a16:creationId xmlns:a16="http://schemas.microsoft.com/office/drawing/2014/main" id="{88FD48C0-DCA8-41F5-B5FA-CC60519746A2}"/>
            </a:ext>
          </a:extLst>
        </xdr:cNvPr>
        <xdr:cNvSpPr/>
      </xdr:nvSpPr>
      <xdr:spPr>
        <a:xfrm>
          <a:off x="374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7</xdr:row>
      <xdr:rowOff>3175</xdr:rowOff>
    </xdr:from>
    <xdr:to>
      <xdr:col>5</xdr:col>
      <xdr:colOff>508000</xdr:colOff>
      <xdr:row>8</xdr:row>
      <xdr:rowOff>12700</xdr:rowOff>
    </xdr:to>
    <xdr:sp macro="SetLED" textlink="">
      <xdr:nvSpPr>
        <xdr:cNvPr id="17980" name="DalekLED510">
          <a:extLst>
            <a:ext uri="{FF2B5EF4-FFF2-40B4-BE49-F238E27FC236}">
              <a16:creationId xmlns:a16="http://schemas.microsoft.com/office/drawing/2014/main" id="{0AD20647-928D-4675-BBF5-F930CABB4054}"/>
            </a:ext>
          </a:extLst>
        </xdr:cNvPr>
        <xdr:cNvSpPr/>
      </xdr:nvSpPr>
      <xdr:spPr>
        <a:xfrm>
          <a:off x="374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609600</xdr:colOff>
      <xdr:row>1</xdr:row>
      <xdr:rowOff>41275</xdr:rowOff>
    </xdr:from>
    <xdr:to>
      <xdr:col>6</xdr:col>
      <xdr:colOff>304800</xdr:colOff>
      <xdr:row>8</xdr:row>
      <xdr:rowOff>44450</xdr:rowOff>
    </xdr:to>
    <xdr:sp macro="SetHorDir" textlink="">
      <xdr:nvSpPr>
        <xdr:cNvPr id="17981" name="DalekCol11">
          <a:extLst>
            <a:ext uri="{FF2B5EF4-FFF2-40B4-BE49-F238E27FC236}">
              <a16:creationId xmlns:a16="http://schemas.microsoft.com/office/drawing/2014/main" id="{908BCF0C-FD9F-4AC9-B784-D9574DFEB812}"/>
            </a:ext>
          </a:extLst>
        </xdr:cNvPr>
        <xdr:cNvSpPr/>
      </xdr:nvSpPr>
      <xdr:spPr>
        <a:xfrm>
          <a:off x="403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254000</xdr:colOff>
      <xdr:row>6</xdr:row>
      <xdr:rowOff>57150</xdr:rowOff>
    </xdr:from>
    <xdr:to>
      <xdr:col>6</xdr:col>
      <xdr:colOff>254000</xdr:colOff>
      <xdr:row>8</xdr:row>
      <xdr:rowOff>76200</xdr:rowOff>
    </xdr:to>
    <xdr:cxnSp macro="SetHorDir">
      <xdr:nvCxnSpPr>
        <xdr:cNvPr id="17982" name="DalekColDir11">
          <a:extLst>
            <a:ext uri="{FF2B5EF4-FFF2-40B4-BE49-F238E27FC236}">
              <a16:creationId xmlns:a16="http://schemas.microsoft.com/office/drawing/2014/main" id="{006D0980-8060-40DB-93BC-B509B4631F1A}"/>
            </a:ext>
          </a:extLst>
        </xdr:cNvPr>
        <xdr:cNvCxnSpPr/>
      </xdr:nvCxnSpPr>
      <xdr:spPr>
        <a:xfrm flipV="1">
          <a:off x="436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12700</xdr:colOff>
      <xdr:row>1</xdr:row>
      <xdr:rowOff>73025</xdr:rowOff>
    </xdr:from>
    <xdr:to>
      <xdr:col>6</xdr:col>
      <xdr:colOff>203200</xdr:colOff>
      <xdr:row>2</xdr:row>
      <xdr:rowOff>82550</xdr:rowOff>
    </xdr:to>
    <xdr:sp macro="SetLED" textlink="">
      <xdr:nvSpPr>
        <xdr:cNvPr id="17983" name="DalekLED111">
          <a:extLst>
            <a:ext uri="{FF2B5EF4-FFF2-40B4-BE49-F238E27FC236}">
              <a16:creationId xmlns:a16="http://schemas.microsoft.com/office/drawing/2014/main" id="{3AD9C267-09A3-4FF8-9935-949E291CF329}"/>
            </a:ext>
          </a:extLst>
        </xdr:cNvPr>
        <xdr:cNvSpPr/>
      </xdr:nvSpPr>
      <xdr:spPr>
        <a:xfrm>
          <a:off x="412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2</xdr:row>
      <xdr:rowOff>146050</xdr:rowOff>
    </xdr:from>
    <xdr:to>
      <xdr:col>6</xdr:col>
      <xdr:colOff>203200</xdr:colOff>
      <xdr:row>3</xdr:row>
      <xdr:rowOff>155575</xdr:rowOff>
    </xdr:to>
    <xdr:sp macro="SetLED" textlink="">
      <xdr:nvSpPr>
        <xdr:cNvPr id="48288" name="DalekLED211">
          <a:extLst>
            <a:ext uri="{FF2B5EF4-FFF2-40B4-BE49-F238E27FC236}">
              <a16:creationId xmlns:a16="http://schemas.microsoft.com/office/drawing/2014/main" id="{1DFE8B6F-5BD4-4F97-9A38-7D45482545D0}"/>
            </a:ext>
          </a:extLst>
        </xdr:cNvPr>
        <xdr:cNvSpPr/>
      </xdr:nvSpPr>
      <xdr:spPr>
        <a:xfrm>
          <a:off x="412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4</xdr:row>
      <xdr:rowOff>38100</xdr:rowOff>
    </xdr:from>
    <xdr:to>
      <xdr:col>6</xdr:col>
      <xdr:colOff>203200</xdr:colOff>
      <xdr:row>5</xdr:row>
      <xdr:rowOff>47625</xdr:rowOff>
    </xdr:to>
    <xdr:sp macro="SetLED" textlink="">
      <xdr:nvSpPr>
        <xdr:cNvPr id="48289" name="DalekLED311">
          <a:extLst>
            <a:ext uri="{FF2B5EF4-FFF2-40B4-BE49-F238E27FC236}">
              <a16:creationId xmlns:a16="http://schemas.microsoft.com/office/drawing/2014/main" id="{8DA66E7A-335C-4BCB-A5F7-0C412C1D46D4}"/>
            </a:ext>
          </a:extLst>
        </xdr:cNvPr>
        <xdr:cNvSpPr/>
      </xdr:nvSpPr>
      <xdr:spPr>
        <a:xfrm>
          <a:off x="412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5</xdr:row>
      <xdr:rowOff>111125</xdr:rowOff>
    </xdr:from>
    <xdr:to>
      <xdr:col>6</xdr:col>
      <xdr:colOff>203200</xdr:colOff>
      <xdr:row>6</xdr:row>
      <xdr:rowOff>120650</xdr:rowOff>
    </xdr:to>
    <xdr:sp macro="SetLED" textlink="">
      <xdr:nvSpPr>
        <xdr:cNvPr id="48290" name="DalekLED411">
          <a:extLst>
            <a:ext uri="{FF2B5EF4-FFF2-40B4-BE49-F238E27FC236}">
              <a16:creationId xmlns:a16="http://schemas.microsoft.com/office/drawing/2014/main" id="{4CC9CF04-FF74-4F0C-8ADF-DB247245B811}"/>
            </a:ext>
          </a:extLst>
        </xdr:cNvPr>
        <xdr:cNvSpPr/>
      </xdr:nvSpPr>
      <xdr:spPr>
        <a:xfrm>
          <a:off x="412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7</xdr:row>
      <xdr:rowOff>3175</xdr:rowOff>
    </xdr:from>
    <xdr:to>
      <xdr:col>6</xdr:col>
      <xdr:colOff>203200</xdr:colOff>
      <xdr:row>8</xdr:row>
      <xdr:rowOff>12700</xdr:rowOff>
    </xdr:to>
    <xdr:sp macro="SetLED" textlink="">
      <xdr:nvSpPr>
        <xdr:cNvPr id="48291" name="DalekLED511">
          <a:extLst>
            <a:ext uri="{FF2B5EF4-FFF2-40B4-BE49-F238E27FC236}">
              <a16:creationId xmlns:a16="http://schemas.microsoft.com/office/drawing/2014/main" id="{8494E630-37CE-40E2-9D4D-3FC183572B39}"/>
            </a:ext>
          </a:extLst>
        </xdr:cNvPr>
        <xdr:cNvSpPr/>
      </xdr:nvSpPr>
      <xdr:spPr>
        <a:xfrm>
          <a:off x="412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304800</xdr:colOff>
      <xdr:row>1</xdr:row>
      <xdr:rowOff>41275</xdr:rowOff>
    </xdr:from>
    <xdr:to>
      <xdr:col>7</xdr:col>
      <xdr:colOff>0</xdr:colOff>
      <xdr:row>8</xdr:row>
      <xdr:rowOff>44450</xdr:rowOff>
    </xdr:to>
    <xdr:sp macro="SetHorDir" textlink="">
      <xdr:nvSpPr>
        <xdr:cNvPr id="48292" name="DalekCol12">
          <a:extLst>
            <a:ext uri="{FF2B5EF4-FFF2-40B4-BE49-F238E27FC236}">
              <a16:creationId xmlns:a16="http://schemas.microsoft.com/office/drawing/2014/main" id="{26777307-F289-4CB0-BDD1-122AAC417736}"/>
            </a:ext>
          </a:extLst>
        </xdr:cNvPr>
        <xdr:cNvSpPr/>
      </xdr:nvSpPr>
      <xdr:spPr>
        <a:xfrm>
          <a:off x="441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635000</xdr:colOff>
      <xdr:row>6</xdr:row>
      <xdr:rowOff>57150</xdr:rowOff>
    </xdr:from>
    <xdr:to>
      <xdr:col>6</xdr:col>
      <xdr:colOff>635000</xdr:colOff>
      <xdr:row>8</xdr:row>
      <xdr:rowOff>76200</xdr:rowOff>
    </xdr:to>
    <xdr:cxnSp macro="SetHorDir">
      <xdr:nvCxnSpPr>
        <xdr:cNvPr id="48293" name="DalekColDir12">
          <a:extLst>
            <a:ext uri="{FF2B5EF4-FFF2-40B4-BE49-F238E27FC236}">
              <a16:creationId xmlns:a16="http://schemas.microsoft.com/office/drawing/2014/main" id="{3A58111E-1DEC-4A31-BB94-A188052BC37D}"/>
            </a:ext>
          </a:extLst>
        </xdr:cNvPr>
        <xdr:cNvCxnSpPr/>
      </xdr:nvCxnSpPr>
      <xdr:spPr>
        <a:xfrm flipV="1">
          <a:off x="474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393700</xdr:colOff>
      <xdr:row>1</xdr:row>
      <xdr:rowOff>73025</xdr:rowOff>
    </xdr:from>
    <xdr:to>
      <xdr:col>6</xdr:col>
      <xdr:colOff>584200</xdr:colOff>
      <xdr:row>2</xdr:row>
      <xdr:rowOff>82550</xdr:rowOff>
    </xdr:to>
    <xdr:sp macro="SetLED" textlink="">
      <xdr:nvSpPr>
        <xdr:cNvPr id="48294" name="DalekLED112">
          <a:extLst>
            <a:ext uri="{FF2B5EF4-FFF2-40B4-BE49-F238E27FC236}">
              <a16:creationId xmlns:a16="http://schemas.microsoft.com/office/drawing/2014/main" id="{1CF098D6-8860-48C8-9A90-E0CDDA27D5C5}"/>
            </a:ext>
          </a:extLst>
        </xdr:cNvPr>
        <xdr:cNvSpPr/>
      </xdr:nvSpPr>
      <xdr:spPr>
        <a:xfrm>
          <a:off x="450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2</xdr:row>
      <xdr:rowOff>146050</xdr:rowOff>
    </xdr:from>
    <xdr:to>
      <xdr:col>6</xdr:col>
      <xdr:colOff>584200</xdr:colOff>
      <xdr:row>3</xdr:row>
      <xdr:rowOff>155575</xdr:rowOff>
    </xdr:to>
    <xdr:sp macro="SetLED" textlink="">
      <xdr:nvSpPr>
        <xdr:cNvPr id="48295" name="DalekLED212">
          <a:extLst>
            <a:ext uri="{FF2B5EF4-FFF2-40B4-BE49-F238E27FC236}">
              <a16:creationId xmlns:a16="http://schemas.microsoft.com/office/drawing/2014/main" id="{F6CDAA34-CE19-4F79-BA38-7A701C1C2622}"/>
            </a:ext>
          </a:extLst>
        </xdr:cNvPr>
        <xdr:cNvSpPr/>
      </xdr:nvSpPr>
      <xdr:spPr>
        <a:xfrm>
          <a:off x="450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4</xdr:row>
      <xdr:rowOff>38100</xdr:rowOff>
    </xdr:from>
    <xdr:to>
      <xdr:col>6</xdr:col>
      <xdr:colOff>584200</xdr:colOff>
      <xdr:row>5</xdr:row>
      <xdr:rowOff>47625</xdr:rowOff>
    </xdr:to>
    <xdr:sp macro="SetLED" textlink="">
      <xdr:nvSpPr>
        <xdr:cNvPr id="48296" name="DalekLED312">
          <a:extLst>
            <a:ext uri="{FF2B5EF4-FFF2-40B4-BE49-F238E27FC236}">
              <a16:creationId xmlns:a16="http://schemas.microsoft.com/office/drawing/2014/main" id="{FBACD4C6-F6AE-4114-B8F8-EBF849D46FEB}"/>
            </a:ext>
          </a:extLst>
        </xdr:cNvPr>
        <xdr:cNvSpPr/>
      </xdr:nvSpPr>
      <xdr:spPr>
        <a:xfrm>
          <a:off x="450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5</xdr:row>
      <xdr:rowOff>111125</xdr:rowOff>
    </xdr:from>
    <xdr:to>
      <xdr:col>6</xdr:col>
      <xdr:colOff>584200</xdr:colOff>
      <xdr:row>6</xdr:row>
      <xdr:rowOff>120650</xdr:rowOff>
    </xdr:to>
    <xdr:sp macro="SetLED" textlink="">
      <xdr:nvSpPr>
        <xdr:cNvPr id="48297" name="DalekLED412">
          <a:extLst>
            <a:ext uri="{FF2B5EF4-FFF2-40B4-BE49-F238E27FC236}">
              <a16:creationId xmlns:a16="http://schemas.microsoft.com/office/drawing/2014/main" id="{B5D26738-A374-4530-B744-B57D8AD405BC}"/>
            </a:ext>
          </a:extLst>
        </xdr:cNvPr>
        <xdr:cNvSpPr/>
      </xdr:nvSpPr>
      <xdr:spPr>
        <a:xfrm>
          <a:off x="450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7</xdr:row>
      <xdr:rowOff>3175</xdr:rowOff>
    </xdr:from>
    <xdr:to>
      <xdr:col>6</xdr:col>
      <xdr:colOff>584200</xdr:colOff>
      <xdr:row>8</xdr:row>
      <xdr:rowOff>12700</xdr:rowOff>
    </xdr:to>
    <xdr:sp macro="SetLED" textlink="">
      <xdr:nvSpPr>
        <xdr:cNvPr id="48298" name="DalekLED512">
          <a:extLst>
            <a:ext uri="{FF2B5EF4-FFF2-40B4-BE49-F238E27FC236}">
              <a16:creationId xmlns:a16="http://schemas.microsoft.com/office/drawing/2014/main" id="{9C23837A-AA5C-43E7-A6AE-94909F85900D}"/>
            </a:ext>
          </a:extLst>
        </xdr:cNvPr>
        <xdr:cNvSpPr/>
      </xdr:nvSpPr>
      <xdr:spPr>
        <a:xfrm>
          <a:off x="450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0</xdr:colOff>
      <xdr:row>1</xdr:row>
      <xdr:rowOff>41275</xdr:rowOff>
    </xdr:from>
    <xdr:to>
      <xdr:col>7</xdr:col>
      <xdr:colOff>381000</xdr:colOff>
      <xdr:row>8</xdr:row>
      <xdr:rowOff>44450</xdr:rowOff>
    </xdr:to>
    <xdr:sp macro="SetHorDir" textlink="">
      <xdr:nvSpPr>
        <xdr:cNvPr id="48299" name="DalekCol13">
          <a:extLst>
            <a:ext uri="{FF2B5EF4-FFF2-40B4-BE49-F238E27FC236}">
              <a16:creationId xmlns:a16="http://schemas.microsoft.com/office/drawing/2014/main" id="{6643EEB3-1EBD-4A97-A5D6-8066156CB4D7}"/>
            </a:ext>
          </a:extLst>
        </xdr:cNvPr>
        <xdr:cNvSpPr/>
      </xdr:nvSpPr>
      <xdr:spPr>
        <a:xfrm>
          <a:off x="480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330200</xdr:colOff>
      <xdr:row>6</xdr:row>
      <xdr:rowOff>57150</xdr:rowOff>
    </xdr:from>
    <xdr:to>
      <xdr:col>7</xdr:col>
      <xdr:colOff>330200</xdr:colOff>
      <xdr:row>8</xdr:row>
      <xdr:rowOff>76200</xdr:rowOff>
    </xdr:to>
    <xdr:cxnSp macro="SetHorDir">
      <xdr:nvCxnSpPr>
        <xdr:cNvPr id="48300" name="DalekColDir13">
          <a:extLst>
            <a:ext uri="{FF2B5EF4-FFF2-40B4-BE49-F238E27FC236}">
              <a16:creationId xmlns:a16="http://schemas.microsoft.com/office/drawing/2014/main" id="{26FF2D4B-ED70-4184-8CB3-EB877E271BC5}"/>
            </a:ext>
          </a:extLst>
        </xdr:cNvPr>
        <xdr:cNvCxnSpPr/>
      </xdr:nvCxnSpPr>
      <xdr:spPr>
        <a:xfrm flipV="1">
          <a:off x="513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88900</xdr:colOff>
      <xdr:row>1</xdr:row>
      <xdr:rowOff>73025</xdr:rowOff>
    </xdr:from>
    <xdr:to>
      <xdr:col>7</xdr:col>
      <xdr:colOff>279400</xdr:colOff>
      <xdr:row>2</xdr:row>
      <xdr:rowOff>82550</xdr:rowOff>
    </xdr:to>
    <xdr:sp macro="SetLED" textlink="">
      <xdr:nvSpPr>
        <xdr:cNvPr id="48301" name="DalekLED113">
          <a:extLst>
            <a:ext uri="{FF2B5EF4-FFF2-40B4-BE49-F238E27FC236}">
              <a16:creationId xmlns:a16="http://schemas.microsoft.com/office/drawing/2014/main" id="{693B4DEA-ED5A-4CEA-820E-75ADB7DB4EDF}"/>
            </a:ext>
          </a:extLst>
        </xdr:cNvPr>
        <xdr:cNvSpPr/>
      </xdr:nvSpPr>
      <xdr:spPr>
        <a:xfrm>
          <a:off x="488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2</xdr:row>
      <xdr:rowOff>146050</xdr:rowOff>
    </xdr:from>
    <xdr:to>
      <xdr:col>7</xdr:col>
      <xdr:colOff>279400</xdr:colOff>
      <xdr:row>3</xdr:row>
      <xdr:rowOff>155575</xdr:rowOff>
    </xdr:to>
    <xdr:sp macro="SetLED" textlink="">
      <xdr:nvSpPr>
        <xdr:cNvPr id="48302" name="DalekLED213">
          <a:extLst>
            <a:ext uri="{FF2B5EF4-FFF2-40B4-BE49-F238E27FC236}">
              <a16:creationId xmlns:a16="http://schemas.microsoft.com/office/drawing/2014/main" id="{C377DB77-FB71-4F68-95C7-268BABE34C06}"/>
            </a:ext>
          </a:extLst>
        </xdr:cNvPr>
        <xdr:cNvSpPr/>
      </xdr:nvSpPr>
      <xdr:spPr>
        <a:xfrm>
          <a:off x="488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4</xdr:row>
      <xdr:rowOff>38100</xdr:rowOff>
    </xdr:from>
    <xdr:to>
      <xdr:col>7</xdr:col>
      <xdr:colOff>279400</xdr:colOff>
      <xdr:row>5</xdr:row>
      <xdr:rowOff>47625</xdr:rowOff>
    </xdr:to>
    <xdr:sp macro="SetLED" textlink="">
      <xdr:nvSpPr>
        <xdr:cNvPr id="48303" name="DalekLED313">
          <a:extLst>
            <a:ext uri="{FF2B5EF4-FFF2-40B4-BE49-F238E27FC236}">
              <a16:creationId xmlns:a16="http://schemas.microsoft.com/office/drawing/2014/main" id="{4451C6E0-64C7-4CEA-986A-5BAFCCAFB926}"/>
            </a:ext>
          </a:extLst>
        </xdr:cNvPr>
        <xdr:cNvSpPr/>
      </xdr:nvSpPr>
      <xdr:spPr>
        <a:xfrm>
          <a:off x="488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5</xdr:row>
      <xdr:rowOff>111125</xdr:rowOff>
    </xdr:from>
    <xdr:to>
      <xdr:col>7</xdr:col>
      <xdr:colOff>279400</xdr:colOff>
      <xdr:row>6</xdr:row>
      <xdr:rowOff>120650</xdr:rowOff>
    </xdr:to>
    <xdr:sp macro="SetLED" textlink="">
      <xdr:nvSpPr>
        <xdr:cNvPr id="48304" name="DalekLED413">
          <a:extLst>
            <a:ext uri="{FF2B5EF4-FFF2-40B4-BE49-F238E27FC236}">
              <a16:creationId xmlns:a16="http://schemas.microsoft.com/office/drawing/2014/main" id="{1FFBFF9B-AA34-46B4-8E37-285F380CF6D4}"/>
            </a:ext>
          </a:extLst>
        </xdr:cNvPr>
        <xdr:cNvSpPr/>
      </xdr:nvSpPr>
      <xdr:spPr>
        <a:xfrm>
          <a:off x="488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7</xdr:row>
      <xdr:rowOff>3175</xdr:rowOff>
    </xdr:from>
    <xdr:to>
      <xdr:col>7</xdr:col>
      <xdr:colOff>279400</xdr:colOff>
      <xdr:row>8</xdr:row>
      <xdr:rowOff>12700</xdr:rowOff>
    </xdr:to>
    <xdr:sp macro="SetLED" textlink="">
      <xdr:nvSpPr>
        <xdr:cNvPr id="48305" name="DalekLED513">
          <a:extLst>
            <a:ext uri="{FF2B5EF4-FFF2-40B4-BE49-F238E27FC236}">
              <a16:creationId xmlns:a16="http://schemas.microsoft.com/office/drawing/2014/main" id="{DBEE4C71-7869-4C5D-B148-145E76EBB840}"/>
            </a:ext>
          </a:extLst>
        </xdr:cNvPr>
        <xdr:cNvSpPr/>
      </xdr:nvSpPr>
      <xdr:spPr>
        <a:xfrm>
          <a:off x="488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381000</xdr:colOff>
      <xdr:row>1</xdr:row>
      <xdr:rowOff>41275</xdr:rowOff>
    </xdr:from>
    <xdr:to>
      <xdr:col>8</xdr:col>
      <xdr:colOff>76200</xdr:colOff>
      <xdr:row>8</xdr:row>
      <xdr:rowOff>44450</xdr:rowOff>
    </xdr:to>
    <xdr:sp macro="SetHorDir" textlink="">
      <xdr:nvSpPr>
        <xdr:cNvPr id="48306" name="DalekCol14">
          <a:extLst>
            <a:ext uri="{FF2B5EF4-FFF2-40B4-BE49-F238E27FC236}">
              <a16:creationId xmlns:a16="http://schemas.microsoft.com/office/drawing/2014/main" id="{A080D57A-1F91-47EA-B76F-91D5C1ED07B6}"/>
            </a:ext>
          </a:extLst>
        </xdr:cNvPr>
        <xdr:cNvSpPr/>
      </xdr:nvSpPr>
      <xdr:spPr>
        <a:xfrm>
          <a:off x="518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25400</xdr:colOff>
      <xdr:row>6</xdr:row>
      <xdr:rowOff>57150</xdr:rowOff>
    </xdr:from>
    <xdr:to>
      <xdr:col>8</xdr:col>
      <xdr:colOff>25400</xdr:colOff>
      <xdr:row>8</xdr:row>
      <xdr:rowOff>76200</xdr:rowOff>
    </xdr:to>
    <xdr:cxnSp macro="SetHorDir">
      <xdr:nvCxnSpPr>
        <xdr:cNvPr id="48307" name="DalekColDir14">
          <a:extLst>
            <a:ext uri="{FF2B5EF4-FFF2-40B4-BE49-F238E27FC236}">
              <a16:creationId xmlns:a16="http://schemas.microsoft.com/office/drawing/2014/main" id="{FD98E453-C816-401B-9887-F8FD965FEC82}"/>
            </a:ext>
          </a:extLst>
        </xdr:cNvPr>
        <xdr:cNvCxnSpPr/>
      </xdr:nvCxnSpPr>
      <xdr:spPr>
        <a:xfrm flipV="1">
          <a:off x="551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469900</xdr:colOff>
      <xdr:row>1</xdr:row>
      <xdr:rowOff>73025</xdr:rowOff>
    </xdr:from>
    <xdr:to>
      <xdr:col>7</xdr:col>
      <xdr:colOff>660400</xdr:colOff>
      <xdr:row>2</xdr:row>
      <xdr:rowOff>82550</xdr:rowOff>
    </xdr:to>
    <xdr:sp macro="SetLED" textlink="">
      <xdr:nvSpPr>
        <xdr:cNvPr id="48308" name="DalekLED114">
          <a:extLst>
            <a:ext uri="{FF2B5EF4-FFF2-40B4-BE49-F238E27FC236}">
              <a16:creationId xmlns:a16="http://schemas.microsoft.com/office/drawing/2014/main" id="{05F808D4-B58E-4F47-9560-74F6CBA218AD}"/>
            </a:ext>
          </a:extLst>
        </xdr:cNvPr>
        <xdr:cNvSpPr/>
      </xdr:nvSpPr>
      <xdr:spPr>
        <a:xfrm>
          <a:off x="527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2</xdr:row>
      <xdr:rowOff>146050</xdr:rowOff>
    </xdr:from>
    <xdr:to>
      <xdr:col>7</xdr:col>
      <xdr:colOff>660400</xdr:colOff>
      <xdr:row>3</xdr:row>
      <xdr:rowOff>155575</xdr:rowOff>
    </xdr:to>
    <xdr:sp macro="SetLED" textlink="">
      <xdr:nvSpPr>
        <xdr:cNvPr id="48309" name="DalekLED214">
          <a:extLst>
            <a:ext uri="{FF2B5EF4-FFF2-40B4-BE49-F238E27FC236}">
              <a16:creationId xmlns:a16="http://schemas.microsoft.com/office/drawing/2014/main" id="{E3C13952-11C5-42E0-ABD6-9A44070499FC}"/>
            </a:ext>
          </a:extLst>
        </xdr:cNvPr>
        <xdr:cNvSpPr/>
      </xdr:nvSpPr>
      <xdr:spPr>
        <a:xfrm>
          <a:off x="527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4</xdr:row>
      <xdr:rowOff>38100</xdr:rowOff>
    </xdr:from>
    <xdr:to>
      <xdr:col>7</xdr:col>
      <xdr:colOff>660400</xdr:colOff>
      <xdr:row>5</xdr:row>
      <xdr:rowOff>47625</xdr:rowOff>
    </xdr:to>
    <xdr:sp macro="SetLED" textlink="">
      <xdr:nvSpPr>
        <xdr:cNvPr id="48310" name="DalekLED314">
          <a:extLst>
            <a:ext uri="{FF2B5EF4-FFF2-40B4-BE49-F238E27FC236}">
              <a16:creationId xmlns:a16="http://schemas.microsoft.com/office/drawing/2014/main" id="{24035065-D605-4BD3-A3B2-8E10B8502673}"/>
            </a:ext>
          </a:extLst>
        </xdr:cNvPr>
        <xdr:cNvSpPr/>
      </xdr:nvSpPr>
      <xdr:spPr>
        <a:xfrm>
          <a:off x="527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5</xdr:row>
      <xdr:rowOff>111125</xdr:rowOff>
    </xdr:from>
    <xdr:to>
      <xdr:col>7</xdr:col>
      <xdr:colOff>660400</xdr:colOff>
      <xdr:row>6</xdr:row>
      <xdr:rowOff>120650</xdr:rowOff>
    </xdr:to>
    <xdr:sp macro="SetLED" textlink="">
      <xdr:nvSpPr>
        <xdr:cNvPr id="48311" name="DalekLED414">
          <a:extLst>
            <a:ext uri="{FF2B5EF4-FFF2-40B4-BE49-F238E27FC236}">
              <a16:creationId xmlns:a16="http://schemas.microsoft.com/office/drawing/2014/main" id="{C84CD54D-66AC-425D-A4B1-58006ECA3D1E}"/>
            </a:ext>
          </a:extLst>
        </xdr:cNvPr>
        <xdr:cNvSpPr/>
      </xdr:nvSpPr>
      <xdr:spPr>
        <a:xfrm>
          <a:off x="527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7</xdr:row>
      <xdr:rowOff>3175</xdr:rowOff>
    </xdr:from>
    <xdr:to>
      <xdr:col>7</xdr:col>
      <xdr:colOff>660400</xdr:colOff>
      <xdr:row>8</xdr:row>
      <xdr:rowOff>12700</xdr:rowOff>
    </xdr:to>
    <xdr:sp macro="SetLED" textlink="">
      <xdr:nvSpPr>
        <xdr:cNvPr id="48312" name="DalekLED514">
          <a:extLst>
            <a:ext uri="{FF2B5EF4-FFF2-40B4-BE49-F238E27FC236}">
              <a16:creationId xmlns:a16="http://schemas.microsoft.com/office/drawing/2014/main" id="{E88B96A5-CB51-48A6-AFC3-D6B46C7EB7A6}"/>
            </a:ext>
          </a:extLst>
        </xdr:cNvPr>
        <xdr:cNvSpPr/>
      </xdr:nvSpPr>
      <xdr:spPr>
        <a:xfrm>
          <a:off x="527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76200</xdr:colOff>
      <xdr:row>1</xdr:row>
      <xdr:rowOff>41275</xdr:rowOff>
    </xdr:from>
    <xdr:to>
      <xdr:col>8</xdr:col>
      <xdr:colOff>457200</xdr:colOff>
      <xdr:row>8</xdr:row>
      <xdr:rowOff>44450</xdr:rowOff>
    </xdr:to>
    <xdr:sp macro="SetHorDir" textlink="">
      <xdr:nvSpPr>
        <xdr:cNvPr id="48313" name="DalekCol15">
          <a:extLst>
            <a:ext uri="{FF2B5EF4-FFF2-40B4-BE49-F238E27FC236}">
              <a16:creationId xmlns:a16="http://schemas.microsoft.com/office/drawing/2014/main" id="{425B3009-C2EA-45C8-812A-D05035833ECF}"/>
            </a:ext>
          </a:extLst>
        </xdr:cNvPr>
        <xdr:cNvSpPr/>
      </xdr:nvSpPr>
      <xdr:spPr>
        <a:xfrm>
          <a:off x="556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406400</xdr:colOff>
      <xdr:row>6</xdr:row>
      <xdr:rowOff>57150</xdr:rowOff>
    </xdr:from>
    <xdr:to>
      <xdr:col>8</xdr:col>
      <xdr:colOff>406400</xdr:colOff>
      <xdr:row>8</xdr:row>
      <xdr:rowOff>76200</xdr:rowOff>
    </xdr:to>
    <xdr:cxnSp macro="SetHorDir">
      <xdr:nvCxnSpPr>
        <xdr:cNvPr id="48314" name="DalekColDir15">
          <a:extLst>
            <a:ext uri="{FF2B5EF4-FFF2-40B4-BE49-F238E27FC236}">
              <a16:creationId xmlns:a16="http://schemas.microsoft.com/office/drawing/2014/main" id="{B8B91184-39E7-49C4-9A64-5E818A118B8F}"/>
            </a:ext>
          </a:extLst>
        </xdr:cNvPr>
        <xdr:cNvCxnSpPr/>
      </xdr:nvCxnSpPr>
      <xdr:spPr>
        <a:xfrm flipV="1">
          <a:off x="589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165100</xdr:colOff>
      <xdr:row>1</xdr:row>
      <xdr:rowOff>73025</xdr:rowOff>
    </xdr:from>
    <xdr:to>
      <xdr:col>8</xdr:col>
      <xdr:colOff>355600</xdr:colOff>
      <xdr:row>2</xdr:row>
      <xdr:rowOff>82550</xdr:rowOff>
    </xdr:to>
    <xdr:sp macro="SetLED" textlink="">
      <xdr:nvSpPr>
        <xdr:cNvPr id="48315" name="DalekLED115">
          <a:extLst>
            <a:ext uri="{FF2B5EF4-FFF2-40B4-BE49-F238E27FC236}">
              <a16:creationId xmlns:a16="http://schemas.microsoft.com/office/drawing/2014/main" id="{0F147CBE-CCB3-4402-B575-4EC68A7073C4}"/>
            </a:ext>
          </a:extLst>
        </xdr:cNvPr>
        <xdr:cNvSpPr/>
      </xdr:nvSpPr>
      <xdr:spPr>
        <a:xfrm>
          <a:off x="565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2</xdr:row>
      <xdr:rowOff>146050</xdr:rowOff>
    </xdr:from>
    <xdr:to>
      <xdr:col>8</xdr:col>
      <xdr:colOff>355600</xdr:colOff>
      <xdr:row>3</xdr:row>
      <xdr:rowOff>155575</xdr:rowOff>
    </xdr:to>
    <xdr:sp macro="SetLED" textlink="">
      <xdr:nvSpPr>
        <xdr:cNvPr id="48316" name="DalekLED215">
          <a:extLst>
            <a:ext uri="{FF2B5EF4-FFF2-40B4-BE49-F238E27FC236}">
              <a16:creationId xmlns:a16="http://schemas.microsoft.com/office/drawing/2014/main" id="{B4E70EB7-2147-4DD7-8C5A-3E8373142169}"/>
            </a:ext>
          </a:extLst>
        </xdr:cNvPr>
        <xdr:cNvSpPr/>
      </xdr:nvSpPr>
      <xdr:spPr>
        <a:xfrm>
          <a:off x="565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4</xdr:row>
      <xdr:rowOff>38100</xdr:rowOff>
    </xdr:from>
    <xdr:to>
      <xdr:col>8</xdr:col>
      <xdr:colOff>355600</xdr:colOff>
      <xdr:row>5</xdr:row>
      <xdr:rowOff>47625</xdr:rowOff>
    </xdr:to>
    <xdr:sp macro="SetLED" textlink="">
      <xdr:nvSpPr>
        <xdr:cNvPr id="48318" name="DalekLED315">
          <a:extLst>
            <a:ext uri="{FF2B5EF4-FFF2-40B4-BE49-F238E27FC236}">
              <a16:creationId xmlns:a16="http://schemas.microsoft.com/office/drawing/2014/main" id="{195B51F7-B2A4-4CE7-92BB-E3459AA26BA7}"/>
            </a:ext>
          </a:extLst>
        </xdr:cNvPr>
        <xdr:cNvSpPr/>
      </xdr:nvSpPr>
      <xdr:spPr>
        <a:xfrm>
          <a:off x="565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5</xdr:row>
      <xdr:rowOff>111125</xdr:rowOff>
    </xdr:from>
    <xdr:to>
      <xdr:col>8</xdr:col>
      <xdr:colOff>355600</xdr:colOff>
      <xdr:row>6</xdr:row>
      <xdr:rowOff>120650</xdr:rowOff>
    </xdr:to>
    <xdr:sp macro="SetLED" textlink="">
      <xdr:nvSpPr>
        <xdr:cNvPr id="48319" name="DalekLED415">
          <a:extLst>
            <a:ext uri="{FF2B5EF4-FFF2-40B4-BE49-F238E27FC236}">
              <a16:creationId xmlns:a16="http://schemas.microsoft.com/office/drawing/2014/main" id="{AEEE8AEA-FCB9-4DC1-9EC9-EEC53360AD59}"/>
            </a:ext>
          </a:extLst>
        </xdr:cNvPr>
        <xdr:cNvSpPr/>
      </xdr:nvSpPr>
      <xdr:spPr>
        <a:xfrm>
          <a:off x="565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7</xdr:row>
      <xdr:rowOff>3175</xdr:rowOff>
    </xdr:from>
    <xdr:to>
      <xdr:col>8</xdr:col>
      <xdr:colOff>355600</xdr:colOff>
      <xdr:row>8</xdr:row>
      <xdr:rowOff>12700</xdr:rowOff>
    </xdr:to>
    <xdr:sp macro="SetLED" textlink="">
      <xdr:nvSpPr>
        <xdr:cNvPr id="1228" name="DalekLED515">
          <a:extLst>
            <a:ext uri="{FF2B5EF4-FFF2-40B4-BE49-F238E27FC236}">
              <a16:creationId xmlns:a16="http://schemas.microsoft.com/office/drawing/2014/main" id="{7AE37542-7DEF-4591-8E4C-D3E0AD4600AC}"/>
            </a:ext>
          </a:extLst>
        </xdr:cNvPr>
        <xdr:cNvSpPr/>
      </xdr:nvSpPr>
      <xdr:spPr>
        <a:xfrm>
          <a:off x="565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457200</xdr:colOff>
      <xdr:row>1</xdr:row>
      <xdr:rowOff>41275</xdr:rowOff>
    </xdr:from>
    <xdr:to>
      <xdr:col>9</xdr:col>
      <xdr:colOff>152400</xdr:colOff>
      <xdr:row>8</xdr:row>
      <xdr:rowOff>44450</xdr:rowOff>
    </xdr:to>
    <xdr:sp macro="SetHorDir" textlink="">
      <xdr:nvSpPr>
        <xdr:cNvPr id="1229" name="DalekCol16">
          <a:extLst>
            <a:ext uri="{FF2B5EF4-FFF2-40B4-BE49-F238E27FC236}">
              <a16:creationId xmlns:a16="http://schemas.microsoft.com/office/drawing/2014/main" id="{BF62A4CD-5862-490C-BD6E-9F384823C768}"/>
            </a:ext>
          </a:extLst>
        </xdr:cNvPr>
        <xdr:cNvSpPr/>
      </xdr:nvSpPr>
      <xdr:spPr>
        <a:xfrm>
          <a:off x="594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101600</xdr:colOff>
      <xdr:row>6</xdr:row>
      <xdr:rowOff>57150</xdr:rowOff>
    </xdr:from>
    <xdr:to>
      <xdr:col>9</xdr:col>
      <xdr:colOff>101600</xdr:colOff>
      <xdr:row>8</xdr:row>
      <xdr:rowOff>76200</xdr:rowOff>
    </xdr:to>
    <xdr:cxnSp macro="SetHorDir">
      <xdr:nvCxnSpPr>
        <xdr:cNvPr id="1230" name="DalekColDir16">
          <a:extLst>
            <a:ext uri="{FF2B5EF4-FFF2-40B4-BE49-F238E27FC236}">
              <a16:creationId xmlns:a16="http://schemas.microsoft.com/office/drawing/2014/main" id="{04CDA8FF-D027-4EA5-A279-5C1DC53F9BBC}"/>
            </a:ext>
          </a:extLst>
        </xdr:cNvPr>
        <xdr:cNvCxnSpPr/>
      </xdr:nvCxnSpPr>
      <xdr:spPr>
        <a:xfrm flipV="1">
          <a:off x="627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546100</xdr:colOff>
      <xdr:row>1</xdr:row>
      <xdr:rowOff>73025</xdr:rowOff>
    </xdr:from>
    <xdr:to>
      <xdr:col>9</xdr:col>
      <xdr:colOff>50800</xdr:colOff>
      <xdr:row>2</xdr:row>
      <xdr:rowOff>82550</xdr:rowOff>
    </xdr:to>
    <xdr:sp macro="SetLED" textlink="">
      <xdr:nvSpPr>
        <xdr:cNvPr id="1231" name="DalekLED116">
          <a:extLst>
            <a:ext uri="{FF2B5EF4-FFF2-40B4-BE49-F238E27FC236}">
              <a16:creationId xmlns:a16="http://schemas.microsoft.com/office/drawing/2014/main" id="{2BB72FC8-5019-454C-B356-4AB5A80EBF1A}"/>
            </a:ext>
          </a:extLst>
        </xdr:cNvPr>
        <xdr:cNvSpPr/>
      </xdr:nvSpPr>
      <xdr:spPr>
        <a:xfrm>
          <a:off x="603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2</xdr:row>
      <xdr:rowOff>146050</xdr:rowOff>
    </xdr:from>
    <xdr:to>
      <xdr:col>9</xdr:col>
      <xdr:colOff>50800</xdr:colOff>
      <xdr:row>3</xdr:row>
      <xdr:rowOff>155575</xdr:rowOff>
    </xdr:to>
    <xdr:sp macro="SetLED" textlink="">
      <xdr:nvSpPr>
        <xdr:cNvPr id="1232" name="DalekLED216">
          <a:extLst>
            <a:ext uri="{FF2B5EF4-FFF2-40B4-BE49-F238E27FC236}">
              <a16:creationId xmlns:a16="http://schemas.microsoft.com/office/drawing/2014/main" id="{D1031F24-63F6-4BEF-A9BA-235BC6A02D09}"/>
            </a:ext>
          </a:extLst>
        </xdr:cNvPr>
        <xdr:cNvSpPr/>
      </xdr:nvSpPr>
      <xdr:spPr>
        <a:xfrm>
          <a:off x="603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4</xdr:row>
      <xdr:rowOff>38100</xdr:rowOff>
    </xdr:from>
    <xdr:to>
      <xdr:col>9</xdr:col>
      <xdr:colOff>50800</xdr:colOff>
      <xdr:row>5</xdr:row>
      <xdr:rowOff>47625</xdr:rowOff>
    </xdr:to>
    <xdr:sp macro="SetLED" textlink="">
      <xdr:nvSpPr>
        <xdr:cNvPr id="1233" name="DalekLED316">
          <a:extLst>
            <a:ext uri="{FF2B5EF4-FFF2-40B4-BE49-F238E27FC236}">
              <a16:creationId xmlns:a16="http://schemas.microsoft.com/office/drawing/2014/main" id="{3C0ECB6A-25B0-44BE-975C-48DB0E0C78A9}"/>
            </a:ext>
          </a:extLst>
        </xdr:cNvPr>
        <xdr:cNvSpPr/>
      </xdr:nvSpPr>
      <xdr:spPr>
        <a:xfrm>
          <a:off x="603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5</xdr:row>
      <xdr:rowOff>111125</xdr:rowOff>
    </xdr:from>
    <xdr:to>
      <xdr:col>9</xdr:col>
      <xdr:colOff>50800</xdr:colOff>
      <xdr:row>6</xdr:row>
      <xdr:rowOff>120650</xdr:rowOff>
    </xdr:to>
    <xdr:sp macro="SetLED" textlink="">
      <xdr:nvSpPr>
        <xdr:cNvPr id="1234" name="DalekLED416">
          <a:extLst>
            <a:ext uri="{FF2B5EF4-FFF2-40B4-BE49-F238E27FC236}">
              <a16:creationId xmlns:a16="http://schemas.microsoft.com/office/drawing/2014/main" id="{921D6B8C-7311-4F01-A596-BBEAB85B5B21}"/>
            </a:ext>
          </a:extLst>
        </xdr:cNvPr>
        <xdr:cNvSpPr/>
      </xdr:nvSpPr>
      <xdr:spPr>
        <a:xfrm>
          <a:off x="603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7</xdr:row>
      <xdr:rowOff>3175</xdr:rowOff>
    </xdr:from>
    <xdr:to>
      <xdr:col>9</xdr:col>
      <xdr:colOff>50800</xdr:colOff>
      <xdr:row>8</xdr:row>
      <xdr:rowOff>12700</xdr:rowOff>
    </xdr:to>
    <xdr:sp macro="SetLED" textlink="">
      <xdr:nvSpPr>
        <xdr:cNvPr id="1235" name="DalekLED516">
          <a:extLst>
            <a:ext uri="{FF2B5EF4-FFF2-40B4-BE49-F238E27FC236}">
              <a16:creationId xmlns:a16="http://schemas.microsoft.com/office/drawing/2014/main" id="{87F818BE-5300-4149-8F4E-BD24501B7E0B}"/>
            </a:ext>
          </a:extLst>
        </xdr:cNvPr>
        <xdr:cNvSpPr/>
      </xdr:nvSpPr>
      <xdr:spPr>
        <a:xfrm>
          <a:off x="603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152400</xdr:colOff>
      <xdr:row>1</xdr:row>
      <xdr:rowOff>41275</xdr:rowOff>
    </xdr:from>
    <xdr:to>
      <xdr:col>9</xdr:col>
      <xdr:colOff>533400</xdr:colOff>
      <xdr:row>8</xdr:row>
      <xdr:rowOff>44450</xdr:rowOff>
    </xdr:to>
    <xdr:sp macro="SetHorDir" textlink="">
      <xdr:nvSpPr>
        <xdr:cNvPr id="1236" name="DalekCol17">
          <a:extLst>
            <a:ext uri="{FF2B5EF4-FFF2-40B4-BE49-F238E27FC236}">
              <a16:creationId xmlns:a16="http://schemas.microsoft.com/office/drawing/2014/main" id="{937072FC-DE7D-41BE-8129-C456E44F4A3A}"/>
            </a:ext>
          </a:extLst>
        </xdr:cNvPr>
        <xdr:cNvSpPr/>
      </xdr:nvSpPr>
      <xdr:spPr>
        <a:xfrm>
          <a:off x="632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482600</xdr:colOff>
      <xdr:row>6</xdr:row>
      <xdr:rowOff>57150</xdr:rowOff>
    </xdr:from>
    <xdr:to>
      <xdr:col>9</xdr:col>
      <xdr:colOff>482600</xdr:colOff>
      <xdr:row>8</xdr:row>
      <xdr:rowOff>76200</xdr:rowOff>
    </xdr:to>
    <xdr:cxnSp macro="SetHorDir">
      <xdr:nvCxnSpPr>
        <xdr:cNvPr id="1237" name="DalekColDir17">
          <a:extLst>
            <a:ext uri="{FF2B5EF4-FFF2-40B4-BE49-F238E27FC236}">
              <a16:creationId xmlns:a16="http://schemas.microsoft.com/office/drawing/2014/main" id="{8E088E6D-34B6-4C1E-993A-987D372B5386}"/>
            </a:ext>
          </a:extLst>
        </xdr:cNvPr>
        <xdr:cNvCxnSpPr/>
      </xdr:nvCxnSpPr>
      <xdr:spPr>
        <a:xfrm flipV="1">
          <a:off x="665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241300</xdr:colOff>
      <xdr:row>1</xdr:row>
      <xdr:rowOff>73025</xdr:rowOff>
    </xdr:from>
    <xdr:to>
      <xdr:col>9</xdr:col>
      <xdr:colOff>431800</xdr:colOff>
      <xdr:row>2</xdr:row>
      <xdr:rowOff>82550</xdr:rowOff>
    </xdr:to>
    <xdr:sp macro="SetLED" textlink="">
      <xdr:nvSpPr>
        <xdr:cNvPr id="1238" name="DalekLED117">
          <a:extLst>
            <a:ext uri="{FF2B5EF4-FFF2-40B4-BE49-F238E27FC236}">
              <a16:creationId xmlns:a16="http://schemas.microsoft.com/office/drawing/2014/main" id="{96D328CF-2A25-41B5-A0CD-21E72B9D6B76}"/>
            </a:ext>
          </a:extLst>
        </xdr:cNvPr>
        <xdr:cNvSpPr/>
      </xdr:nvSpPr>
      <xdr:spPr>
        <a:xfrm>
          <a:off x="641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2</xdr:row>
      <xdr:rowOff>146050</xdr:rowOff>
    </xdr:from>
    <xdr:to>
      <xdr:col>9</xdr:col>
      <xdr:colOff>431800</xdr:colOff>
      <xdr:row>3</xdr:row>
      <xdr:rowOff>155575</xdr:rowOff>
    </xdr:to>
    <xdr:sp macro="SetLED" textlink="">
      <xdr:nvSpPr>
        <xdr:cNvPr id="1239" name="DalekLED217">
          <a:extLst>
            <a:ext uri="{FF2B5EF4-FFF2-40B4-BE49-F238E27FC236}">
              <a16:creationId xmlns:a16="http://schemas.microsoft.com/office/drawing/2014/main" id="{07F05E58-1731-4C2D-B1F8-1CDFC815701E}"/>
            </a:ext>
          </a:extLst>
        </xdr:cNvPr>
        <xdr:cNvSpPr/>
      </xdr:nvSpPr>
      <xdr:spPr>
        <a:xfrm>
          <a:off x="641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4</xdr:row>
      <xdr:rowOff>38100</xdr:rowOff>
    </xdr:from>
    <xdr:to>
      <xdr:col>9</xdr:col>
      <xdr:colOff>431800</xdr:colOff>
      <xdr:row>5</xdr:row>
      <xdr:rowOff>47625</xdr:rowOff>
    </xdr:to>
    <xdr:sp macro="SetLED" textlink="">
      <xdr:nvSpPr>
        <xdr:cNvPr id="1240" name="DalekLED317">
          <a:extLst>
            <a:ext uri="{FF2B5EF4-FFF2-40B4-BE49-F238E27FC236}">
              <a16:creationId xmlns:a16="http://schemas.microsoft.com/office/drawing/2014/main" id="{34809940-FE92-4DDB-984A-3529AC26F90D}"/>
            </a:ext>
          </a:extLst>
        </xdr:cNvPr>
        <xdr:cNvSpPr/>
      </xdr:nvSpPr>
      <xdr:spPr>
        <a:xfrm>
          <a:off x="641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5</xdr:row>
      <xdr:rowOff>111125</xdr:rowOff>
    </xdr:from>
    <xdr:to>
      <xdr:col>9</xdr:col>
      <xdr:colOff>431800</xdr:colOff>
      <xdr:row>6</xdr:row>
      <xdr:rowOff>120650</xdr:rowOff>
    </xdr:to>
    <xdr:sp macro="SetLED" textlink="">
      <xdr:nvSpPr>
        <xdr:cNvPr id="1241" name="DalekLED417">
          <a:extLst>
            <a:ext uri="{FF2B5EF4-FFF2-40B4-BE49-F238E27FC236}">
              <a16:creationId xmlns:a16="http://schemas.microsoft.com/office/drawing/2014/main" id="{AE869662-DC5C-4BCC-ADAF-90CB5FA41978}"/>
            </a:ext>
          </a:extLst>
        </xdr:cNvPr>
        <xdr:cNvSpPr/>
      </xdr:nvSpPr>
      <xdr:spPr>
        <a:xfrm>
          <a:off x="641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7</xdr:row>
      <xdr:rowOff>3175</xdr:rowOff>
    </xdr:from>
    <xdr:to>
      <xdr:col>9</xdr:col>
      <xdr:colOff>431800</xdr:colOff>
      <xdr:row>8</xdr:row>
      <xdr:rowOff>12700</xdr:rowOff>
    </xdr:to>
    <xdr:sp macro="SetLED" textlink="">
      <xdr:nvSpPr>
        <xdr:cNvPr id="1242" name="DalekLED517">
          <a:extLst>
            <a:ext uri="{FF2B5EF4-FFF2-40B4-BE49-F238E27FC236}">
              <a16:creationId xmlns:a16="http://schemas.microsoft.com/office/drawing/2014/main" id="{8FA0AA41-8F20-4969-8F46-4A383F414AFA}"/>
            </a:ext>
          </a:extLst>
        </xdr:cNvPr>
        <xdr:cNvSpPr/>
      </xdr:nvSpPr>
      <xdr:spPr>
        <a:xfrm>
          <a:off x="641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533400</xdr:colOff>
      <xdr:row>1</xdr:row>
      <xdr:rowOff>41275</xdr:rowOff>
    </xdr:from>
    <xdr:to>
      <xdr:col>10</xdr:col>
      <xdr:colOff>228600</xdr:colOff>
      <xdr:row>8</xdr:row>
      <xdr:rowOff>44450</xdr:rowOff>
    </xdr:to>
    <xdr:sp macro="SetHorDir" textlink="">
      <xdr:nvSpPr>
        <xdr:cNvPr id="1243" name="DalekCol18">
          <a:extLst>
            <a:ext uri="{FF2B5EF4-FFF2-40B4-BE49-F238E27FC236}">
              <a16:creationId xmlns:a16="http://schemas.microsoft.com/office/drawing/2014/main" id="{9A379293-36E9-433A-A6D4-5E3BE3D86643}"/>
            </a:ext>
          </a:extLst>
        </xdr:cNvPr>
        <xdr:cNvSpPr/>
      </xdr:nvSpPr>
      <xdr:spPr>
        <a:xfrm>
          <a:off x="670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177800</xdr:colOff>
      <xdr:row>6</xdr:row>
      <xdr:rowOff>57150</xdr:rowOff>
    </xdr:from>
    <xdr:to>
      <xdr:col>10</xdr:col>
      <xdr:colOff>177800</xdr:colOff>
      <xdr:row>8</xdr:row>
      <xdr:rowOff>76200</xdr:rowOff>
    </xdr:to>
    <xdr:cxnSp macro="SetHorDir">
      <xdr:nvCxnSpPr>
        <xdr:cNvPr id="1244" name="DalekColDir18">
          <a:extLst>
            <a:ext uri="{FF2B5EF4-FFF2-40B4-BE49-F238E27FC236}">
              <a16:creationId xmlns:a16="http://schemas.microsoft.com/office/drawing/2014/main" id="{FF9528AE-641D-40DC-850B-46366FE3D05D}"/>
            </a:ext>
          </a:extLst>
        </xdr:cNvPr>
        <xdr:cNvCxnSpPr/>
      </xdr:nvCxnSpPr>
      <xdr:spPr>
        <a:xfrm flipV="1">
          <a:off x="703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622300</xdr:colOff>
      <xdr:row>1</xdr:row>
      <xdr:rowOff>73025</xdr:rowOff>
    </xdr:from>
    <xdr:to>
      <xdr:col>10</xdr:col>
      <xdr:colOff>127000</xdr:colOff>
      <xdr:row>2</xdr:row>
      <xdr:rowOff>82550</xdr:rowOff>
    </xdr:to>
    <xdr:sp macro="SetLED" textlink="">
      <xdr:nvSpPr>
        <xdr:cNvPr id="1245" name="DalekLED118">
          <a:extLst>
            <a:ext uri="{FF2B5EF4-FFF2-40B4-BE49-F238E27FC236}">
              <a16:creationId xmlns:a16="http://schemas.microsoft.com/office/drawing/2014/main" id="{F0D825C3-B8F6-46EA-9C3B-63DD40631B3C}"/>
            </a:ext>
          </a:extLst>
        </xdr:cNvPr>
        <xdr:cNvSpPr/>
      </xdr:nvSpPr>
      <xdr:spPr>
        <a:xfrm>
          <a:off x="679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2</xdr:row>
      <xdr:rowOff>146050</xdr:rowOff>
    </xdr:from>
    <xdr:to>
      <xdr:col>10</xdr:col>
      <xdr:colOff>127000</xdr:colOff>
      <xdr:row>3</xdr:row>
      <xdr:rowOff>155575</xdr:rowOff>
    </xdr:to>
    <xdr:sp macro="SetLED" textlink="">
      <xdr:nvSpPr>
        <xdr:cNvPr id="1246" name="DalekLED218">
          <a:extLst>
            <a:ext uri="{FF2B5EF4-FFF2-40B4-BE49-F238E27FC236}">
              <a16:creationId xmlns:a16="http://schemas.microsoft.com/office/drawing/2014/main" id="{E1EA9D5C-6CD3-4B29-887B-C3865739A7D2}"/>
            </a:ext>
          </a:extLst>
        </xdr:cNvPr>
        <xdr:cNvSpPr/>
      </xdr:nvSpPr>
      <xdr:spPr>
        <a:xfrm>
          <a:off x="679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4</xdr:row>
      <xdr:rowOff>38100</xdr:rowOff>
    </xdr:from>
    <xdr:to>
      <xdr:col>10</xdr:col>
      <xdr:colOff>127000</xdr:colOff>
      <xdr:row>5</xdr:row>
      <xdr:rowOff>47625</xdr:rowOff>
    </xdr:to>
    <xdr:sp macro="SetLED" textlink="">
      <xdr:nvSpPr>
        <xdr:cNvPr id="1247" name="DalekLED318">
          <a:extLst>
            <a:ext uri="{FF2B5EF4-FFF2-40B4-BE49-F238E27FC236}">
              <a16:creationId xmlns:a16="http://schemas.microsoft.com/office/drawing/2014/main" id="{57279A74-1BF9-4BE2-830A-13C997980F1E}"/>
            </a:ext>
          </a:extLst>
        </xdr:cNvPr>
        <xdr:cNvSpPr/>
      </xdr:nvSpPr>
      <xdr:spPr>
        <a:xfrm>
          <a:off x="679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5</xdr:row>
      <xdr:rowOff>111125</xdr:rowOff>
    </xdr:from>
    <xdr:to>
      <xdr:col>10</xdr:col>
      <xdr:colOff>127000</xdr:colOff>
      <xdr:row>6</xdr:row>
      <xdr:rowOff>120650</xdr:rowOff>
    </xdr:to>
    <xdr:sp macro="SetLED" textlink="">
      <xdr:nvSpPr>
        <xdr:cNvPr id="40256" name="DalekLED418">
          <a:extLst>
            <a:ext uri="{FF2B5EF4-FFF2-40B4-BE49-F238E27FC236}">
              <a16:creationId xmlns:a16="http://schemas.microsoft.com/office/drawing/2014/main" id="{5DBB5B13-ECD6-45A4-AFC5-19FF02B2DBFB}"/>
            </a:ext>
          </a:extLst>
        </xdr:cNvPr>
        <xdr:cNvSpPr/>
      </xdr:nvSpPr>
      <xdr:spPr>
        <a:xfrm>
          <a:off x="679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7</xdr:row>
      <xdr:rowOff>3175</xdr:rowOff>
    </xdr:from>
    <xdr:to>
      <xdr:col>10</xdr:col>
      <xdr:colOff>127000</xdr:colOff>
      <xdr:row>8</xdr:row>
      <xdr:rowOff>12700</xdr:rowOff>
    </xdr:to>
    <xdr:sp macro="SetLED" textlink="">
      <xdr:nvSpPr>
        <xdr:cNvPr id="40257" name="DalekLED518">
          <a:extLst>
            <a:ext uri="{FF2B5EF4-FFF2-40B4-BE49-F238E27FC236}">
              <a16:creationId xmlns:a16="http://schemas.microsoft.com/office/drawing/2014/main" id="{0B1ED219-8767-4FDD-8E6A-01B2004F8833}"/>
            </a:ext>
          </a:extLst>
        </xdr:cNvPr>
        <xdr:cNvSpPr/>
      </xdr:nvSpPr>
      <xdr:spPr>
        <a:xfrm>
          <a:off x="679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228600</xdr:colOff>
      <xdr:row>1</xdr:row>
      <xdr:rowOff>41275</xdr:rowOff>
    </xdr:from>
    <xdr:to>
      <xdr:col>10</xdr:col>
      <xdr:colOff>609600</xdr:colOff>
      <xdr:row>8</xdr:row>
      <xdr:rowOff>44450</xdr:rowOff>
    </xdr:to>
    <xdr:sp macro="SetHorDir" textlink="">
      <xdr:nvSpPr>
        <xdr:cNvPr id="40258" name="DalekCol19">
          <a:extLst>
            <a:ext uri="{FF2B5EF4-FFF2-40B4-BE49-F238E27FC236}">
              <a16:creationId xmlns:a16="http://schemas.microsoft.com/office/drawing/2014/main" id="{01CE783F-A6AA-4D51-8569-6F3718610909}"/>
            </a:ext>
          </a:extLst>
        </xdr:cNvPr>
        <xdr:cNvSpPr/>
      </xdr:nvSpPr>
      <xdr:spPr>
        <a:xfrm>
          <a:off x="708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558800</xdr:colOff>
      <xdr:row>6</xdr:row>
      <xdr:rowOff>57150</xdr:rowOff>
    </xdr:from>
    <xdr:to>
      <xdr:col>10</xdr:col>
      <xdr:colOff>558800</xdr:colOff>
      <xdr:row>8</xdr:row>
      <xdr:rowOff>76200</xdr:rowOff>
    </xdr:to>
    <xdr:cxnSp macro="SetHorDir">
      <xdr:nvCxnSpPr>
        <xdr:cNvPr id="40259" name="DalekColDir19">
          <a:extLst>
            <a:ext uri="{FF2B5EF4-FFF2-40B4-BE49-F238E27FC236}">
              <a16:creationId xmlns:a16="http://schemas.microsoft.com/office/drawing/2014/main" id="{5DEDA035-9431-4E7C-8F01-EB71351D64FE}"/>
            </a:ext>
          </a:extLst>
        </xdr:cNvPr>
        <xdr:cNvCxnSpPr/>
      </xdr:nvCxnSpPr>
      <xdr:spPr>
        <a:xfrm flipV="1">
          <a:off x="741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317500</xdr:colOff>
      <xdr:row>1</xdr:row>
      <xdr:rowOff>73025</xdr:rowOff>
    </xdr:from>
    <xdr:to>
      <xdr:col>10</xdr:col>
      <xdr:colOff>508000</xdr:colOff>
      <xdr:row>2</xdr:row>
      <xdr:rowOff>82550</xdr:rowOff>
    </xdr:to>
    <xdr:sp macro="SetLED" textlink="">
      <xdr:nvSpPr>
        <xdr:cNvPr id="40260" name="DalekLED119">
          <a:extLst>
            <a:ext uri="{FF2B5EF4-FFF2-40B4-BE49-F238E27FC236}">
              <a16:creationId xmlns:a16="http://schemas.microsoft.com/office/drawing/2014/main" id="{333617A7-075E-4633-B28B-4079C531817B}"/>
            </a:ext>
          </a:extLst>
        </xdr:cNvPr>
        <xdr:cNvSpPr/>
      </xdr:nvSpPr>
      <xdr:spPr>
        <a:xfrm>
          <a:off x="717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2</xdr:row>
      <xdr:rowOff>146050</xdr:rowOff>
    </xdr:from>
    <xdr:to>
      <xdr:col>10</xdr:col>
      <xdr:colOff>508000</xdr:colOff>
      <xdr:row>3</xdr:row>
      <xdr:rowOff>155575</xdr:rowOff>
    </xdr:to>
    <xdr:sp macro="SetLED" textlink="">
      <xdr:nvSpPr>
        <xdr:cNvPr id="40261" name="DalekLED219">
          <a:extLst>
            <a:ext uri="{FF2B5EF4-FFF2-40B4-BE49-F238E27FC236}">
              <a16:creationId xmlns:a16="http://schemas.microsoft.com/office/drawing/2014/main" id="{2DBEC90D-C56C-4642-B416-DB1681C781E8}"/>
            </a:ext>
          </a:extLst>
        </xdr:cNvPr>
        <xdr:cNvSpPr/>
      </xdr:nvSpPr>
      <xdr:spPr>
        <a:xfrm>
          <a:off x="717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4</xdr:row>
      <xdr:rowOff>38100</xdr:rowOff>
    </xdr:from>
    <xdr:to>
      <xdr:col>10</xdr:col>
      <xdr:colOff>508000</xdr:colOff>
      <xdr:row>5</xdr:row>
      <xdr:rowOff>47625</xdr:rowOff>
    </xdr:to>
    <xdr:sp macro="SetLED" textlink="">
      <xdr:nvSpPr>
        <xdr:cNvPr id="40262" name="DalekLED319">
          <a:extLst>
            <a:ext uri="{FF2B5EF4-FFF2-40B4-BE49-F238E27FC236}">
              <a16:creationId xmlns:a16="http://schemas.microsoft.com/office/drawing/2014/main" id="{BE690CB5-6765-4D03-80D0-63C1D92D9A64}"/>
            </a:ext>
          </a:extLst>
        </xdr:cNvPr>
        <xdr:cNvSpPr/>
      </xdr:nvSpPr>
      <xdr:spPr>
        <a:xfrm>
          <a:off x="717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5</xdr:row>
      <xdr:rowOff>111125</xdr:rowOff>
    </xdr:from>
    <xdr:to>
      <xdr:col>10</xdr:col>
      <xdr:colOff>508000</xdr:colOff>
      <xdr:row>6</xdr:row>
      <xdr:rowOff>120650</xdr:rowOff>
    </xdr:to>
    <xdr:sp macro="SetLED" textlink="">
      <xdr:nvSpPr>
        <xdr:cNvPr id="40264" name="DalekLED419">
          <a:extLst>
            <a:ext uri="{FF2B5EF4-FFF2-40B4-BE49-F238E27FC236}">
              <a16:creationId xmlns:a16="http://schemas.microsoft.com/office/drawing/2014/main" id="{C8E2550D-D4BE-48AF-8D53-8636EBFD7471}"/>
            </a:ext>
          </a:extLst>
        </xdr:cNvPr>
        <xdr:cNvSpPr/>
      </xdr:nvSpPr>
      <xdr:spPr>
        <a:xfrm>
          <a:off x="717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7</xdr:row>
      <xdr:rowOff>3175</xdr:rowOff>
    </xdr:from>
    <xdr:to>
      <xdr:col>10</xdr:col>
      <xdr:colOff>508000</xdr:colOff>
      <xdr:row>8</xdr:row>
      <xdr:rowOff>12700</xdr:rowOff>
    </xdr:to>
    <xdr:sp macro="SetLED" textlink="">
      <xdr:nvSpPr>
        <xdr:cNvPr id="40265" name="DalekLED519">
          <a:extLst>
            <a:ext uri="{FF2B5EF4-FFF2-40B4-BE49-F238E27FC236}">
              <a16:creationId xmlns:a16="http://schemas.microsoft.com/office/drawing/2014/main" id="{574A1A01-6931-4121-B628-016CEAF48A0C}"/>
            </a:ext>
          </a:extLst>
        </xdr:cNvPr>
        <xdr:cNvSpPr/>
      </xdr:nvSpPr>
      <xdr:spPr>
        <a:xfrm>
          <a:off x="717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609600</xdr:colOff>
      <xdr:row>1</xdr:row>
      <xdr:rowOff>41275</xdr:rowOff>
    </xdr:from>
    <xdr:to>
      <xdr:col>11</xdr:col>
      <xdr:colOff>304800</xdr:colOff>
      <xdr:row>8</xdr:row>
      <xdr:rowOff>44450</xdr:rowOff>
    </xdr:to>
    <xdr:sp macro="SetHorDir" textlink="">
      <xdr:nvSpPr>
        <xdr:cNvPr id="40266" name="DalekCol20">
          <a:extLst>
            <a:ext uri="{FF2B5EF4-FFF2-40B4-BE49-F238E27FC236}">
              <a16:creationId xmlns:a16="http://schemas.microsoft.com/office/drawing/2014/main" id="{7529CB6F-2270-47BB-AB6A-269E73A0E997}"/>
            </a:ext>
          </a:extLst>
        </xdr:cNvPr>
        <xdr:cNvSpPr/>
      </xdr:nvSpPr>
      <xdr:spPr>
        <a:xfrm>
          <a:off x="746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254000</xdr:colOff>
      <xdr:row>6</xdr:row>
      <xdr:rowOff>57150</xdr:rowOff>
    </xdr:from>
    <xdr:to>
      <xdr:col>11</xdr:col>
      <xdr:colOff>254000</xdr:colOff>
      <xdr:row>8</xdr:row>
      <xdr:rowOff>76200</xdr:rowOff>
    </xdr:to>
    <xdr:cxnSp macro="SetHorDir">
      <xdr:nvCxnSpPr>
        <xdr:cNvPr id="40267" name="DalekColDir20">
          <a:extLst>
            <a:ext uri="{FF2B5EF4-FFF2-40B4-BE49-F238E27FC236}">
              <a16:creationId xmlns:a16="http://schemas.microsoft.com/office/drawing/2014/main" id="{4E6A1CBA-D5CB-4D28-A866-4905D0BCB3D0}"/>
            </a:ext>
          </a:extLst>
        </xdr:cNvPr>
        <xdr:cNvCxnSpPr/>
      </xdr:nvCxnSpPr>
      <xdr:spPr>
        <a:xfrm flipV="1">
          <a:off x="779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12700</xdr:colOff>
      <xdr:row>1</xdr:row>
      <xdr:rowOff>73025</xdr:rowOff>
    </xdr:from>
    <xdr:to>
      <xdr:col>11</xdr:col>
      <xdr:colOff>203200</xdr:colOff>
      <xdr:row>2</xdr:row>
      <xdr:rowOff>82550</xdr:rowOff>
    </xdr:to>
    <xdr:sp macro="SetLED" textlink="">
      <xdr:nvSpPr>
        <xdr:cNvPr id="40268" name="DalekLED120">
          <a:extLst>
            <a:ext uri="{FF2B5EF4-FFF2-40B4-BE49-F238E27FC236}">
              <a16:creationId xmlns:a16="http://schemas.microsoft.com/office/drawing/2014/main" id="{0D1B34F2-2BB5-4C92-99E5-E779F1404D70}"/>
            </a:ext>
          </a:extLst>
        </xdr:cNvPr>
        <xdr:cNvSpPr/>
      </xdr:nvSpPr>
      <xdr:spPr>
        <a:xfrm>
          <a:off x="755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2</xdr:row>
      <xdr:rowOff>146050</xdr:rowOff>
    </xdr:from>
    <xdr:to>
      <xdr:col>11</xdr:col>
      <xdr:colOff>203200</xdr:colOff>
      <xdr:row>3</xdr:row>
      <xdr:rowOff>155575</xdr:rowOff>
    </xdr:to>
    <xdr:sp macro="SetLED" textlink="">
      <xdr:nvSpPr>
        <xdr:cNvPr id="40269" name="DalekLED220">
          <a:extLst>
            <a:ext uri="{FF2B5EF4-FFF2-40B4-BE49-F238E27FC236}">
              <a16:creationId xmlns:a16="http://schemas.microsoft.com/office/drawing/2014/main" id="{A1D31BD7-820C-4035-97A6-51203FEEFF65}"/>
            </a:ext>
          </a:extLst>
        </xdr:cNvPr>
        <xdr:cNvSpPr/>
      </xdr:nvSpPr>
      <xdr:spPr>
        <a:xfrm>
          <a:off x="755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4</xdr:row>
      <xdr:rowOff>38100</xdr:rowOff>
    </xdr:from>
    <xdr:to>
      <xdr:col>11</xdr:col>
      <xdr:colOff>203200</xdr:colOff>
      <xdr:row>5</xdr:row>
      <xdr:rowOff>47625</xdr:rowOff>
    </xdr:to>
    <xdr:sp macro="SetLED" textlink="">
      <xdr:nvSpPr>
        <xdr:cNvPr id="40270" name="DalekLED320">
          <a:extLst>
            <a:ext uri="{FF2B5EF4-FFF2-40B4-BE49-F238E27FC236}">
              <a16:creationId xmlns:a16="http://schemas.microsoft.com/office/drawing/2014/main" id="{2C699F9D-2501-4CBE-A580-5BA2E1C6159B}"/>
            </a:ext>
          </a:extLst>
        </xdr:cNvPr>
        <xdr:cNvSpPr/>
      </xdr:nvSpPr>
      <xdr:spPr>
        <a:xfrm>
          <a:off x="755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5</xdr:row>
      <xdr:rowOff>111125</xdr:rowOff>
    </xdr:from>
    <xdr:to>
      <xdr:col>11</xdr:col>
      <xdr:colOff>203200</xdr:colOff>
      <xdr:row>6</xdr:row>
      <xdr:rowOff>120650</xdr:rowOff>
    </xdr:to>
    <xdr:sp macro="SetLED" textlink="">
      <xdr:nvSpPr>
        <xdr:cNvPr id="40271" name="DalekLED420">
          <a:extLst>
            <a:ext uri="{FF2B5EF4-FFF2-40B4-BE49-F238E27FC236}">
              <a16:creationId xmlns:a16="http://schemas.microsoft.com/office/drawing/2014/main" id="{1CE2558A-190C-4A01-9CEB-AB7832861EBE}"/>
            </a:ext>
          </a:extLst>
        </xdr:cNvPr>
        <xdr:cNvSpPr/>
      </xdr:nvSpPr>
      <xdr:spPr>
        <a:xfrm>
          <a:off x="755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7</xdr:row>
      <xdr:rowOff>3175</xdr:rowOff>
    </xdr:from>
    <xdr:to>
      <xdr:col>11</xdr:col>
      <xdr:colOff>203200</xdr:colOff>
      <xdr:row>8</xdr:row>
      <xdr:rowOff>12700</xdr:rowOff>
    </xdr:to>
    <xdr:sp macro="SetLED" textlink="">
      <xdr:nvSpPr>
        <xdr:cNvPr id="40272" name="DalekLED520">
          <a:extLst>
            <a:ext uri="{FF2B5EF4-FFF2-40B4-BE49-F238E27FC236}">
              <a16:creationId xmlns:a16="http://schemas.microsoft.com/office/drawing/2014/main" id="{3C178E8E-AFA7-43CE-8D50-26AB0605663C}"/>
            </a:ext>
          </a:extLst>
        </xdr:cNvPr>
        <xdr:cNvSpPr/>
      </xdr:nvSpPr>
      <xdr:spPr>
        <a:xfrm>
          <a:off x="755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304800</xdr:colOff>
      <xdr:row>1</xdr:row>
      <xdr:rowOff>41275</xdr:rowOff>
    </xdr:from>
    <xdr:to>
      <xdr:col>12</xdr:col>
      <xdr:colOff>0</xdr:colOff>
      <xdr:row>8</xdr:row>
      <xdr:rowOff>44450</xdr:rowOff>
    </xdr:to>
    <xdr:sp macro="SetHorDir" textlink="">
      <xdr:nvSpPr>
        <xdr:cNvPr id="40273" name="DalekCol21">
          <a:extLst>
            <a:ext uri="{FF2B5EF4-FFF2-40B4-BE49-F238E27FC236}">
              <a16:creationId xmlns:a16="http://schemas.microsoft.com/office/drawing/2014/main" id="{7DBED913-5AF9-41D1-A9D1-D211D8B93962}"/>
            </a:ext>
          </a:extLst>
        </xdr:cNvPr>
        <xdr:cNvSpPr/>
      </xdr:nvSpPr>
      <xdr:spPr>
        <a:xfrm>
          <a:off x="784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635000</xdr:colOff>
      <xdr:row>6</xdr:row>
      <xdr:rowOff>57150</xdr:rowOff>
    </xdr:from>
    <xdr:to>
      <xdr:col>11</xdr:col>
      <xdr:colOff>635000</xdr:colOff>
      <xdr:row>8</xdr:row>
      <xdr:rowOff>76200</xdr:rowOff>
    </xdr:to>
    <xdr:cxnSp macro="SetHorDir">
      <xdr:nvCxnSpPr>
        <xdr:cNvPr id="40274" name="DalekColDir21">
          <a:extLst>
            <a:ext uri="{FF2B5EF4-FFF2-40B4-BE49-F238E27FC236}">
              <a16:creationId xmlns:a16="http://schemas.microsoft.com/office/drawing/2014/main" id="{B319A965-9F41-4CB3-BB48-1F8CECBC222D}"/>
            </a:ext>
          </a:extLst>
        </xdr:cNvPr>
        <xdr:cNvCxnSpPr/>
      </xdr:nvCxnSpPr>
      <xdr:spPr>
        <a:xfrm flipV="1">
          <a:off x="817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393700</xdr:colOff>
      <xdr:row>1</xdr:row>
      <xdr:rowOff>73025</xdr:rowOff>
    </xdr:from>
    <xdr:to>
      <xdr:col>11</xdr:col>
      <xdr:colOff>584200</xdr:colOff>
      <xdr:row>2</xdr:row>
      <xdr:rowOff>82550</xdr:rowOff>
    </xdr:to>
    <xdr:sp macro="SetLED" textlink="">
      <xdr:nvSpPr>
        <xdr:cNvPr id="40275" name="DalekLED121">
          <a:extLst>
            <a:ext uri="{FF2B5EF4-FFF2-40B4-BE49-F238E27FC236}">
              <a16:creationId xmlns:a16="http://schemas.microsoft.com/office/drawing/2014/main" id="{CA21C01D-12AA-4B5F-A073-D7C97F4A071A}"/>
            </a:ext>
          </a:extLst>
        </xdr:cNvPr>
        <xdr:cNvSpPr/>
      </xdr:nvSpPr>
      <xdr:spPr>
        <a:xfrm>
          <a:off x="793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2</xdr:row>
      <xdr:rowOff>146050</xdr:rowOff>
    </xdr:from>
    <xdr:to>
      <xdr:col>11</xdr:col>
      <xdr:colOff>584200</xdr:colOff>
      <xdr:row>3</xdr:row>
      <xdr:rowOff>155575</xdr:rowOff>
    </xdr:to>
    <xdr:sp macro="SetLED" textlink="">
      <xdr:nvSpPr>
        <xdr:cNvPr id="40276" name="DalekLED221">
          <a:extLst>
            <a:ext uri="{FF2B5EF4-FFF2-40B4-BE49-F238E27FC236}">
              <a16:creationId xmlns:a16="http://schemas.microsoft.com/office/drawing/2014/main" id="{63AC21A0-1E83-4937-8650-B4CE9AE9ABB7}"/>
            </a:ext>
          </a:extLst>
        </xdr:cNvPr>
        <xdr:cNvSpPr/>
      </xdr:nvSpPr>
      <xdr:spPr>
        <a:xfrm>
          <a:off x="793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4</xdr:row>
      <xdr:rowOff>38100</xdr:rowOff>
    </xdr:from>
    <xdr:to>
      <xdr:col>11</xdr:col>
      <xdr:colOff>584200</xdr:colOff>
      <xdr:row>5</xdr:row>
      <xdr:rowOff>47625</xdr:rowOff>
    </xdr:to>
    <xdr:sp macro="SetLED" textlink="">
      <xdr:nvSpPr>
        <xdr:cNvPr id="40277" name="DalekLED321">
          <a:extLst>
            <a:ext uri="{FF2B5EF4-FFF2-40B4-BE49-F238E27FC236}">
              <a16:creationId xmlns:a16="http://schemas.microsoft.com/office/drawing/2014/main" id="{1DB8164B-C9E1-4550-97DF-705C9326C038}"/>
            </a:ext>
          </a:extLst>
        </xdr:cNvPr>
        <xdr:cNvSpPr/>
      </xdr:nvSpPr>
      <xdr:spPr>
        <a:xfrm>
          <a:off x="793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5</xdr:row>
      <xdr:rowOff>111125</xdr:rowOff>
    </xdr:from>
    <xdr:to>
      <xdr:col>11</xdr:col>
      <xdr:colOff>584200</xdr:colOff>
      <xdr:row>6</xdr:row>
      <xdr:rowOff>120650</xdr:rowOff>
    </xdr:to>
    <xdr:sp macro="SetLED" textlink="">
      <xdr:nvSpPr>
        <xdr:cNvPr id="40278" name="DalekLED421">
          <a:extLst>
            <a:ext uri="{FF2B5EF4-FFF2-40B4-BE49-F238E27FC236}">
              <a16:creationId xmlns:a16="http://schemas.microsoft.com/office/drawing/2014/main" id="{9D1F8237-35FB-4904-B154-F24D44137910}"/>
            </a:ext>
          </a:extLst>
        </xdr:cNvPr>
        <xdr:cNvSpPr/>
      </xdr:nvSpPr>
      <xdr:spPr>
        <a:xfrm>
          <a:off x="793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7</xdr:row>
      <xdr:rowOff>3175</xdr:rowOff>
    </xdr:from>
    <xdr:to>
      <xdr:col>11</xdr:col>
      <xdr:colOff>584200</xdr:colOff>
      <xdr:row>8</xdr:row>
      <xdr:rowOff>12700</xdr:rowOff>
    </xdr:to>
    <xdr:sp macro="SetLED" textlink="">
      <xdr:nvSpPr>
        <xdr:cNvPr id="40279" name="DalekLED521">
          <a:extLst>
            <a:ext uri="{FF2B5EF4-FFF2-40B4-BE49-F238E27FC236}">
              <a16:creationId xmlns:a16="http://schemas.microsoft.com/office/drawing/2014/main" id="{DE366AD6-FBEF-40D5-BC4D-376339338D01}"/>
            </a:ext>
          </a:extLst>
        </xdr:cNvPr>
        <xdr:cNvSpPr/>
      </xdr:nvSpPr>
      <xdr:spPr>
        <a:xfrm>
          <a:off x="793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0</xdr:colOff>
      <xdr:row>1</xdr:row>
      <xdr:rowOff>41275</xdr:rowOff>
    </xdr:from>
    <xdr:to>
      <xdr:col>12</xdr:col>
      <xdr:colOff>381000</xdr:colOff>
      <xdr:row>8</xdr:row>
      <xdr:rowOff>44450</xdr:rowOff>
    </xdr:to>
    <xdr:sp macro="SetHorDir" textlink="">
      <xdr:nvSpPr>
        <xdr:cNvPr id="40280" name="DalekCol22">
          <a:extLst>
            <a:ext uri="{FF2B5EF4-FFF2-40B4-BE49-F238E27FC236}">
              <a16:creationId xmlns:a16="http://schemas.microsoft.com/office/drawing/2014/main" id="{5E69C15D-014E-4187-A96E-0EB79A8FCF44}"/>
            </a:ext>
          </a:extLst>
        </xdr:cNvPr>
        <xdr:cNvSpPr/>
      </xdr:nvSpPr>
      <xdr:spPr>
        <a:xfrm>
          <a:off x="822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330200</xdr:colOff>
      <xdr:row>6</xdr:row>
      <xdr:rowOff>57150</xdr:rowOff>
    </xdr:from>
    <xdr:to>
      <xdr:col>12</xdr:col>
      <xdr:colOff>330200</xdr:colOff>
      <xdr:row>8</xdr:row>
      <xdr:rowOff>76200</xdr:rowOff>
    </xdr:to>
    <xdr:cxnSp macro="SetHorDir">
      <xdr:nvCxnSpPr>
        <xdr:cNvPr id="40281" name="DalekColDir22">
          <a:extLst>
            <a:ext uri="{FF2B5EF4-FFF2-40B4-BE49-F238E27FC236}">
              <a16:creationId xmlns:a16="http://schemas.microsoft.com/office/drawing/2014/main" id="{C8F90734-8E38-4A5D-BAE0-3AC29F03F7EF}"/>
            </a:ext>
          </a:extLst>
        </xdr:cNvPr>
        <xdr:cNvCxnSpPr/>
      </xdr:nvCxnSpPr>
      <xdr:spPr>
        <a:xfrm flipV="1">
          <a:off x="855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88900</xdr:colOff>
      <xdr:row>1</xdr:row>
      <xdr:rowOff>73025</xdr:rowOff>
    </xdr:from>
    <xdr:to>
      <xdr:col>12</xdr:col>
      <xdr:colOff>279400</xdr:colOff>
      <xdr:row>2</xdr:row>
      <xdr:rowOff>82550</xdr:rowOff>
    </xdr:to>
    <xdr:sp macro="SetLED" textlink="">
      <xdr:nvSpPr>
        <xdr:cNvPr id="40282" name="DalekLED122">
          <a:extLst>
            <a:ext uri="{FF2B5EF4-FFF2-40B4-BE49-F238E27FC236}">
              <a16:creationId xmlns:a16="http://schemas.microsoft.com/office/drawing/2014/main" id="{4FF52EBC-6882-44E1-8262-6BB3C6E66571}"/>
            </a:ext>
          </a:extLst>
        </xdr:cNvPr>
        <xdr:cNvSpPr/>
      </xdr:nvSpPr>
      <xdr:spPr>
        <a:xfrm>
          <a:off x="831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2</xdr:row>
      <xdr:rowOff>146050</xdr:rowOff>
    </xdr:from>
    <xdr:to>
      <xdr:col>12</xdr:col>
      <xdr:colOff>279400</xdr:colOff>
      <xdr:row>3</xdr:row>
      <xdr:rowOff>155575</xdr:rowOff>
    </xdr:to>
    <xdr:sp macro="SetLED" textlink="">
      <xdr:nvSpPr>
        <xdr:cNvPr id="40283" name="DalekLED222">
          <a:extLst>
            <a:ext uri="{FF2B5EF4-FFF2-40B4-BE49-F238E27FC236}">
              <a16:creationId xmlns:a16="http://schemas.microsoft.com/office/drawing/2014/main" id="{6CF3DABA-1E76-477D-9083-BC40E8A75596}"/>
            </a:ext>
          </a:extLst>
        </xdr:cNvPr>
        <xdr:cNvSpPr/>
      </xdr:nvSpPr>
      <xdr:spPr>
        <a:xfrm>
          <a:off x="831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4</xdr:row>
      <xdr:rowOff>38100</xdr:rowOff>
    </xdr:from>
    <xdr:to>
      <xdr:col>12</xdr:col>
      <xdr:colOff>279400</xdr:colOff>
      <xdr:row>5</xdr:row>
      <xdr:rowOff>47625</xdr:rowOff>
    </xdr:to>
    <xdr:sp macro="SetLED" textlink="">
      <xdr:nvSpPr>
        <xdr:cNvPr id="40284" name="DalekLED322">
          <a:extLst>
            <a:ext uri="{FF2B5EF4-FFF2-40B4-BE49-F238E27FC236}">
              <a16:creationId xmlns:a16="http://schemas.microsoft.com/office/drawing/2014/main" id="{7DB1EDD7-1179-49C1-91BF-ADAED0EFFB4B}"/>
            </a:ext>
          </a:extLst>
        </xdr:cNvPr>
        <xdr:cNvSpPr/>
      </xdr:nvSpPr>
      <xdr:spPr>
        <a:xfrm>
          <a:off x="831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5</xdr:row>
      <xdr:rowOff>111125</xdr:rowOff>
    </xdr:from>
    <xdr:to>
      <xdr:col>12</xdr:col>
      <xdr:colOff>279400</xdr:colOff>
      <xdr:row>6</xdr:row>
      <xdr:rowOff>120650</xdr:rowOff>
    </xdr:to>
    <xdr:sp macro="SetLED" textlink="">
      <xdr:nvSpPr>
        <xdr:cNvPr id="40285" name="DalekLED422">
          <a:extLst>
            <a:ext uri="{FF2B5EF4-FFF2-40B4-BE49-F238E27FC236}">
              <a16:creationId xmlns:a16="http://schemas.microsoft.com/office/drawing/2014/main" id="{42E10C46-B0D5-419E-A872-697C4A83D5BA}"/>
            </a:ext>
          </a:extLst>
        </xdr:cNvPr>
        <xdr:cNvSpPr/>
      </xdr:nvSpPr>
      <xdr:spPr>
        <a:xfrm>
          <a:off x="831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7</xdr:row>
      <xdr:rowOff>3175</xdr:rowOff>
    </xdr:from>
    <xdr:to>
      <xdr:col>12</xdr:col>
      <xdr:colOff>279400</xdr:colOff>
      <xdr:row>8</xdr:row>
      <xdr:rowOff>12700</xdr:rowOff>
    </xdr:to>
    <xdr:sp macro="SetLED" textlink="">
      <xdr:nvSpPr>
        <xdr:cNvPr id="40286" name="DalekLED522">
          <a:extLst>
            <a:ext uri="{FF2B5EF4-FFF2-40B4-BE49-F238E27FC236}">
              <a16:creationId xmlns:a16="http://schemas.microsoft.com/office/drawing/2014/main" id="{0502FA02-B615-47DF-9F50-9B7D1C9BA213}"/>
            </a:ext>
          </a:extLst>
        </xdr:cNvPr>
        <xdr:cNvSpPr/>
      </xdr:nvSpPr>
      <xdr:spPr>
        <a:xfrm>
          <a:off x="831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381000</xdr:colOff>
      <xdr:row>1</xdr:row>
      <xdr:rowOff>41275</xdr:rowOff>
    </xdr:from>
    <xdr:to>
      <xdr:col>13</xdr:col>
      <xdr:colOff>76200</xdr:colOff>
      <xdr:row>8</xdr:row>
      <xdr:rowOff>44450</xdr:rowOff>
    </xdr:to>
    <xdr:sp macro="SetHorDir" textlink="">
      <xdr:nvSpPr>
        <xdr:cNvPr id="40287" name="DalekCol23">
          <a:extLst>
            <a:ext uri="{FF2B5EF4-FFF2-40B4-BE49-F238E27FC236}">
              <a16:creationId xmlns:a16="http://schemas.microsoft.com/office/drawing/2014/main" id="{27A52A5F-0F36-4F79-805A-717CDC5782FF}"/>
            </a:ext>
          </a:extLst>
        </xdr:cNvPr>
        <xdr:cNvSpPr/>
      </xdr:nvSpPr>
      <xdr:spPr>
        <a:xfrm>
          <a:off x="861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25400</xdr:colOff>
      <xdr:row>6</xdr:row>
      <xdr:rowOff>57150</xdr:rowOff>
    </xdr:from>
    <xdr:to>
      <xdr:col>13</xdr:col>
      <xdr:colOff>25400</xdr:colOff>
      <xdr:row>8</xdr:row>
      <xdr:rowOff>76200</xdr:rowOff>
    </xdr:to>
    <xdr:cxnSp macro="SetHorDir">
      <xdr:nvCxnSpPr>
        <xdr:cNvPr id="7168" name="DalekColDir23">
          <a:extLst>
            <a:ext uri="{FF2B5EF4-FFF2-40B4-BE49-F238E27FC236}">
              <a16:creationId xmlns:a16="http://schemas.microsoft.com/office/drawing/2014/main" id="{67542016-BCF9-47DB-A276-BBFBD5006C85}"/>
            </a:ext>
          </a:extLst>
        </xdr:cNvPr>
        <xdr:cNvCxnSpPr/>
      </xdr:nvCxnSpPr>
      <xdr:spPr>
        <a:xfrm flipV="1">
          <a:off x="894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469900</xdr:colOff>
      <xdr:row>1</xdr:row>
      <xdr:rowOff>73025</xdr:rowOff>
    </xdr:from>
    <xdr:to>
      <xdr:col>12</xdr:col>
      <xdr:colOff>660400</xdr:colOff>
      <xdr:row>2</xdr:row>
      <xdr:rowOff>82550</xdr:rowOff>
    </xdr:to>
    <xdr:sp macro="SetLED" textlink="">
      <xdr:nvSpPr>
        <xdr:cNvPr id="7169" name="DalekLED123">
          <a:extLst>
            <a:ext uri="{FF2B5EF4-FFF2-40B4-BE49-F238E27FC236}">
              <a16:creationId xmlns:a16="http://schemas.microsoft.com/office/drawing/2014/main" id="{F92940B0-8DE4-4737-904B-72D5C75E6598}"/>
            </a:ext>
          </a:extLst>
        </xdr:cNvPr>
        <xdr:cNvSpPr/>
      </xdr:nvSpPr>
      <xdr:spPr>
        <a:xfrm>
          <a:off x="869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2</xdr:row>
      <xdr:rowOff>146050</xdr:rowOff>
    </xdr:from>
    <xdr:to>
      <xdr:col>12</xdr:col>
      <xdr:colOff>660400</xdr:colOff>
      <xdr:row>3</xdr:row>
      <xdr:rowOff>155575</xdr:rowOff>
    </xdr:to>
    <xdr:sp macro="SetLED" textlink="">
      <xdr:nvSpPr>
        <xdr:cNvPr id="7170" name="DalekLED223">
          <a:extLst>
            <a:ext uri="{FF2B5EF4-FFF2-40B4-BE49-F238E27FC236}">
              <a16:creationId xmlns:a16="http://schemas.microsoft.com/office/drawing/2014/main" id="{4934DC47-DD4A-47A6-BA51-2F1EB5655F0E}"/>
            </a:ext>
          </a:extLst>
        </xdr:cNvPr>
        <xdr:cNvSpPr/>
      </xdr:nvSpPr>
      <xdr:spPr>
        <a:xfrm>
          <a:off x="869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4</xdr:row>
      <xdr:rowOff>38100</xdr:rowOff>
    </xdr:from>
    <xdr:to>
      <xdr:col>12</xdr:col>
      <xdr:colOff>660400</xdr:colOff>
      <xdr:row>5</xdr:row>
      <xdr:rowOff>47625</xdr:rowOff>
    </xdr:to>
    <xdr:sp macro="SetLED" textlink="">
      <xdr:nvSpPr>
        <xdr:cNvPr id="7171" name="DalekLED323">
          <a:extLst>
            <a:ext uri="{FF2B5EF4-FFF2-40B4-BE49-F238E27FC236}">
              <a16:creationId xmlns:a16="http://schemas.microsoft.com/office/drawing/2014/main" id="{6FD5D64E-AE6E-47DC-A22A-EB96D7F8B815}"/>
            </a:ext>
          </a:extLst>
        </xdr:cNvPr>
        <xdr:cNvSpPr/>
      </xdr:nvSpPr>
      <xdr:spPr>
        <a:xfrm>
          <a:off x="869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5</xdr:row>
      <xdr:rowOff>111125</xdr:rowOff>
    </xdr:from>
    <xdr:to>
      <xdr:col>12</xdr:col>
      <xdr:colOff>660400</xdr:colOff>
      <xdr:row>6</xdr:row>
      <xdr:rowOff>120650</xdr:rowOff>
    </xdr:to>
    <xdr:sp macro="SetLED" textlink="">
      <xdr:nvSpPr>
        <xdr:cNvPr id="7172" name="DalekLED423">
          <a:extLst>
            <a:ext uri="{FF2B5EF4-FFF2-40B4-BE49-F238E27FC236}">
              <a16:creationId xmlns:a16="http://schemas.microsoft.com/office/drawing/2014/main" id="{4760BBB3-B631-4CE1-BDC9-C482BB522C9B}"/>
            </a:ext>
          </a:extLst>
        </xdr:cNvPr>
        <xdr:cNvSpPr/>
      </xdr:nvSpPr>
      <xdr:spPr>
        <a:xfrm>
          <a:off x="869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7</xdr:row>
      <xdr:rowOff>3175</xdr:rowOff>
    </xdr:from>
    <xdr:to>
      <xdr:col>12</xdr:col>
      <xdr:colOff>660400</xdr:colOff>
      <xdr:row>8</xdr:row>
      <xdr:rowOff>12700</xdr:rowOff>
    </xdr:to>
    <xdr:sp macro="SetLED" textlink="">
      <xdr:nvSpPr>
        <xdr:cNvPr id="7173" name="DalekLED523">
          <a:extLst>
            <a:ext uri="{FF2B5EF4-FFF2-40B4-BE49-F238E27FC236}">
              <a16:creationId xmlns:a16="http://schemas.microsoft.com/office/drawing/2014/main" id="{8A032AF2-DFB3-40EE-A5B3-D9295A1B1F62}"/>
            </a:ext>
          </a:extLst>
        </xdr:cNvPr>
        <xdr:cNvSpPr/>
      </xdr:nvSpPr>
      <xdr:spPr>
        <a:xfrm>
          <a:off x="869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76200</xdr:colOff>
      <xdr:row>1</xdr:row>
      <xdr:rowOff>41275</xdr:rowOff>
    </xdr:from>
    <xdr:to>
      <xdr:col>13</xdr:col>
      <xdr:colOff>457200</xdr:colOff>
      <xdr:row>8</xdr:row>
      <xdr:rowOff>44450</xdr:rowOff>
    </xdr:to>
    <xdr:sp macro="SetHorDir" textlink="">
      <xdr:nvSpPr>
        <xdr:cNvPr id="7175" name="DalekCol24">
          <a:extLst>
            <a:ext uri="{FF2B5EF4-FFF2-40B4-BE49-F238E27FC236}">
              <a16:creationId xmlns:a16="http://schemas.microsoft.com/office/drawing/2014/main" id="{87367692-1859-4959-A77D-E906066C9C71}"/>
            </a:ext>
          </a:extLst>
        </xdr:cNvPr>
        <xdr:cNvSpPr/>
      </xdr:nvSpPr>
      <xdr:spPr>
        <a:xfrm>
          <a:off x="899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406400</xdr:colOff>
      <xdr:row>6</xdr:row>
      <xdr:rowOff>57150</xdr:rowOff>
    </xdr:from>
    <xdr:to>
      <xdr:col>13</xdr:col>
      <xdr:colOff>406400</xdr:colOff>
      <xdr:row>8</xdr:row>
      <xdr:rowOff>76200</xdr:rowOff>
    </xdr:to>
    <xdr:cxnSp macro="SetHorDir">
      <xdr:nvCxnSpPr>
        <xdr:cNvPr id="7176" name="DalekColDir24">
          <a:extLst>
            <a:ext uri="{FF2B5EF4-FFF2-40B4-BE49-F238E27FC236}">
              <a16:creationId xmlns:a16="http://schemas.microsoft.com/office/drawing/2014/main" id="{F6AF8487-54F2-4F1F-BEB2-6129A8059E51}"/>
            </a:ext>
          </a:extLst>
        </xdr:cNvPr>
        <xdr:cNvCxnSpPr/>
      </xdr:nvCxnSpPr>
      <xdr:spPr>
        <a:xfrm flipV="1">
          <a:off x="932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165100</xdr:colOff>
      <xdr:row>1</xdr:row>
      <xdr:rowOff>73025</xdr:rowOff>
    </xdr:from>
    <xdr:to>
      <xdr:col>13</xdr:col>
      <xdr:colOff>355600</xdr:colOff>
      <xdr:row>2</xdr:row>
      <xdr:rowOff>82550</xdr:rowOff>
    </xdr:to>
    <xdr:sp macro="SetLED" textlink="">
      <xdr:nvSpPr>
        <xdr:cNvPr id="7177" name="DalekLED124">
          <a:extLst>
            <a:ext uri="{FF2B5EF4-FFF2-40B4-BE49-F238E27FC236}">
              <a16:creationId xmlns:a16="http://schemas.microsoft.com/office/drawing/2014/main" id="{9F3F7256-B12C-4319-B1CF-CA5BA01EDFDA}"/>
            </a:ext>
          </a:extLst>
        </xdr:cNvPr>
        <xdr:cNvSpPr/>
      </xdr:nvSpPr>
      <xdr:spPr>
        <a:xfrm>
          <a:off x="908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2</xdr:row>
      <xdr:rowOff>146050</xdr:rowOff>
    </xdr:from>
    <xdr:to>
      <xdr:col>13</xdr:col>
      <xdr:colOff>355600</xdr:colOff>
      <xdr:row>3</xdr:row>
      <xdr:rowOff>155575</xdr:rowOff>
    </xdr:to>
    <xdr:sp macro="SetLED" textlink="">
      <xdr:nvSpPr>
        <xdr:cNvPr id="7178" name="DalekLED224">
          <a:extLst>
            <a:ext uri="{FF2B5EF4-FFF2-40B4-BE49-F238E27FC236}">
              <a16:creationId xmlns:a16="http://schemas.microsoft.com/office/drawing/2014/main" id="{E3232747-21C7-4AA4-92B5-EC76FF3A98DF}"/>
            </a:ext>
          </a:extLst>
        </xdr:cNvPr>
        <xdr:cNvSpPr/>
      </xdr:nvSpPr>
      <xdr:spPr>
        <a:xfrm>
          <a:off x="908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4</xdr:row>
      <xdr:rowOff>38100</xdr:rowOff>
    </xdr:from>
    <xdr:to>
      <xdr:col>13</xdr:col>
      <xdr:colOff>355600</xdr:colOff>
      <xdr:row>5</xdr:row>
      <xdr:rowOff>47625</xdr:rowOff>
    </xdr:to>
    <xdr:sp macro="SetLED" textlink="">
      <xdr:nvSpPr>
        <xdr:cNvPr id="7179" name="DalekLED324">
          <a:extLst>
            <a:ext uri="{FF2B5EF4-FFF2-40B4-BE49-F238E27FC236}">
              <a16:creationId xmlns:a16="http://schemas.microsoft.com/office/drawing/2014/main" id="{0DE01BC3-57B3-4347-8DE4-EBE871786622}"/>
            </a:ext>
          </a:extLst>
        </xdr:cNvPr>
        <xdr:cNvSpPr/>
      </xdr:nvSpPr>
      <xdr:spPr>
        <a:xfrm>
          <a:off x="908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5</xdr:row>
      <xdr:rowOff>111125</xdr:rowOff>
    </xdr:from>
    <xdr:to>
      <xdr:col>13</xdr:col>
      <xdr:colOff>355600</xdr:colOff>
      <xdr:row>6</xdr:row>
      <xdr:rowOff>120650</xdr:rowOff>
    </xdr:to>
    <xdr:sp macro="SetLED" textlink="">
      <xdr:nvSpPr>
        <xdr:cNvPr id="7180" name="DalekLED424">
          <a:extLst>
            <a:ext uri="{FF2B5EF4-FFF2-40B4-BE49-F238E27FC236}">
              <a16:creationId xmlns:a16="http://schemas.microsoft.com/office/drawing/2014/main" id="{540F8AA7-C8BF-4FF5-820F-29285FB45E0A}"/>
            </a:ext>
          </a:extLst>
        </xdr:cNvPr>
        <xdr:cNvSpPr/>
      </xdr:nvSpPr>
      <xdr:spPr>
        <a:xfrm>
          <a:off x="908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7</xdr:row>
      <xdr:rowOff>3175</xdr:rowOff>
    </xdr:from>
    <xdr:to>
      <xdr:col>13</xdr:col>
      <xdr:colOff>355600</xdr:colOff>
      <xdr:row>8</xdr:row>
      <xdr:rowOff>12700</xdr:rowOff>
    </xdr:to>
    <xdr:sp macro="SetLED" textlink="">
      <xdr:nvSpPr>
        <xdr:cNvPr id="7181" name="DalekLED524">
          <a:extLst>
            <a:ext uri="{FF2B5EF4-FFF2-40B4-BE49-F238E27FC236}">
              <a16:creationId xmlns:a16="http://schemas.microsoft.com/office/drawing/2014/main" id="{416AED94-9349-4396-81BA-F25AA8CF0012}"/>
            </a:ext>
          </a:extLst>
        </xdr:cNvPr>
        <xdr:cNvSpPr/>
      </xdr:nvSpPr>
      <xdr:spPr>
        <a:xfrm>
          <a:off x="908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457200</xdr:colOff>
      <xdr:row>1</xdr:row>
      <xdr:rowOff>41275</xdr:rowOff>
    </xdr:from>
    <xdr:to>
      <xdr:col>14</xdr:col>
      <xdr:colOff>152400</xdr:colOff>
      <xdr:row>8</xdr:row>
      <xdr:rowOff>44450</xdr:rowOff>
    </xdr:to>
    <xdr:sp macro="SetHorDir" textlink="">
      <xdr:nvSpPr>
        <xdr:cNvPr id="7182" name="DalekCol25">
          <a:extLst>
            <a:ext uri="{FF2B5EF4-FFF2-40B4-BE49-F238E27FC236}">
              <a16:creationId xmlns:a16="http://schemas.microsoft.com/office/drawing/2014/main" id="{BB1F4940-30B7-4968-80B6-94233AEAC6E9}"/>
            </a:ext>
          </a:extLst>
        </xdr:cNvPr>
        <xdr:cNvSpPr/>
      </xdr:nvSpPr>
      <xdr:spPr>
        <a:xfrm>
          <a:off x="937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101600</xdr:colOff>
      <xdr:row>6</xdr:row>
      <xdr:rowOff>57150</xdr:rowOff>
    </xdr:from>
    <xdr:to>
      <xdr:col>14</xdr:col>
      <xdr:colOff>101600</xdr:colOff>
      <xdr:row>8</xdr:row>
      <xdr:rowOff>76200</xdr:rowOff>
    </xdr:to>
    <xdr:cxnSp macro="SetHorDir">
      <xdr:nvCxnSpPr>
        <xdr:cNvPr id="7183" name="DalekColDir25">
          <a:extLst>
            <a:ext uri="{FF2B5EF4-FFF2-40B4-BE49-F238E27FC236}">
              <a16:creationId xmlns:a16="http://schemas.microsoft.com/office/drawing/2014/main" id="{0FB57201-CADD-428B-9042-AA2ED655FD27}"/>
            </a:ext>
          </a:extLst>
        </xdr:cNvPr>
        <xdr:cNvCxnSpPr/>
      </xdr:nvCxnSpPr>
      <xdr:spPr>
        <a:xfrm flipV="1">
          <a:off x="970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546100</xdr:colOff>
      <xdr:row>1</xdr:row>
      <xdr:rowOff>73025</xdr:rowOff>
    </xdr:from>
    <xdr:to>
      <xdr:col>14</xdr:col>
      <xdr:colOff>50800</xdr:colOff>
      <xdr:row>2</xdr:row>
      <xdr:rowOff>82550</xdr:rowOff>
    </xdr:to>
    <xdr:sp macro="SetLED" textlink="">
      <xdr:nvSpPr>
        <xdr:cNvPr id="7184" name="DalekLED125">
          <a:extLst>
            <a:ext uri="{FF2B5EF4-FFF2-40B4-BE49-F238E27FC236}">
              <a16:creationId xmlns:a16="http://schemas.microsoft.com/office/drawing/2014/main" id="{09EA727D-74D7-4670-8FA9-C24D1D130C2C}"/>
            </a:ext>
          </a:extLst>
        </xdr:cNvPr>
        <xdr:cNvSpPr/>
      </xdr:nvSpPr>
      <xdr:spPr>
        <a:xfrm>
          <a:off x="946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2</xdr:row>
      <xdr:rowOff>146050</xdr:rowOff>
    </xdr:from>
    <xdr:to>
      <xdr:col>14</xdr:col>
      <xdr:colOff>50800</xdr:colOff>
      <xdr:row>3</xdr:row>
      <xdr:rowOff>155575</xdr:rowOff>
    </xdr:to>
    <xdr:sp macro="SetLED" textlink="">
      <xdr:nvSpPr>
        <xdr:cNvPr id="7185" name="DalekLED225">
          <a:extLst>
            <a:ext uri="{FF2B5EF4-FFF2-40B4-BE49-F238E27FC236}">
              <a16:creationId xmlns:a16="http://schemas.microsoft.com/office/drawing/2014/main" id="{F9853206-586F-4DF2-9C80-54E3E9817095}"/>
            </a:ext>
          </a:extLst>
        </xdr:cNvPr>
        <xdr:cNvSpPr/>
      </xdr:nvSpPr>
      <xdr:spPr>
        <a:xfrm>
          <a:off x="946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4</xdr:row>
      <xdr:rowOff>38100</xdr:rowOff>
    </xdr:from>
    <xdr:to>
      <xdr:col>14</xdr:col>
      <xdr:colOff>50800</xdr:colOff>
      <xdr:row>5</xdr:row>
      <xdr:rowOff>47625</xdr:rowOff>
    </xdr:to>
    <xdr:sp macro="SetLED" textlink="">
      <xdr:nvSpPr>
        <xdr:cNvPr id="7186" name="DalekLED325">
          <a:extLst>
            <a:ext uri="{FF2B5EF4-FFF2-40B4-BE49-F238E27FC236}">
              <a16:creationId xmlns:a16="http://schemas.microsoft.com/office/drawing/2014/main" id="{38B4E3D5-E227-4DA7-B9EA-6931B4FB51E7}"/>
            </a:ext>
          </a:extLst>
        </xdr:cNvPr>
        <xdr:cNvSpPr/>
      </xdr:nvSpPr>
      <xdr:spPr>
        <a:xfrm>
          <a:off x="946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5</xdr:row>
      <xdr:rowOff>111125</xdr:rowOff>
    </xdr:from>
    <xdr:to>
      <xdr:col>14</xdr:col>
      <xdr:colOff>50800</xdr:colOff>
      <xdr:row>6</xdr:row>
      <xdr:rowOff>120650</xdr:rowOff>
    </xdr:to>
    <xdr:sp macro="SetLED" textlink="">
      <xdr:nvSpPr>
        <xdr:cNvPr id="7187" name="DalekLED425">
          <a:extLst>
            <a:ext uri="{FF2B5EF4-FFF2-40B4-BE49-F238E27FC236}">
              <a16:creationId xmlns:a16="http://schemas.microsoft.com/office/drawing/2014/main" id="{A483FC9E-93B8-4550-B991-A94477EEEDE4}"/>
            </a:ext>
          </a:extLst>
        </xdr:cNvPr>
        <xdr:cNvSpPr/>
      </xdr:nvSpPr>
      <xdr:spPr>
        <a:xfrm>
          <a:off x="946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7</xdr:row>
      <xdr:rowOff>3175</xdr:rowOff>
    </xdr:from>
    <xdr:to>
      <xdr:col>14</xdr:col>
      <xdr:colOff>50800</xdr:colOff>
      <xdr:row>8</xdr:row>
      <xdr:rowOff>12700</xdr:rowOff>
    </xdr:to>
    <xdr:sp macro="SetLED" textlink="">
      <xdr:nvSpPr>
        <xdr:cNvPr id="7188" name="DalekLED525">
          <a:extLst>
            <a:ext uri="{FF2B5EF4-FFF2-40B4-BE49-F238E27FC236}">
              <a16:creationId xmlns:a16="http://schemas.microsoft.com/office/drawing/2014/main" id="{65576AC9-8989-4DFC-BF97-26888606CB9C}"/>
            </a:ext>
          </a:extLst>
        </xdr:cNvPr>
        <xdr:cNvSpPr/>
      </xdr:nvSpPr>
      <xdr:spPr>
        <a:xfrm>
          <a:off x="946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203200</xdr:colOff>
      <xdr:row>1</xdr:row>
      <xdr:rowOff>60325</xdr:rowOff>
    </xdr:from>
    <xdr:to>
      <xdr:col>14</xdr:col>
      <xdr:colOff>558800</xdr:colOff>
      <xdr:row>2</xdr:row>
      <xdr:rowOff>107950</xdr:rowOff>
    </xdr:to>
    <xdr:sp macro="SetVerDir" textlink="">
      <xdr:nvSpPr>
        <xdr:cNvPr id="7189" name="DalekRow01">
          <a:extLst>
            <a:ext uri="{FF2B5EF4-FFF2-40B4-BE49-F238E27FC236}">
              <a16:creationId xmlns:a16="http://schemas.microsoft.com/office/drawing/2014/main" id="{01D7DED5-062E-4C35-9CB6-9A022C158B28}"/>
            </a:ext>
          </a:extLst>
        </xdr:cNvPr>
        <xdr:cNvSpPr/>
      </xdr:nvSpPr>
      <xdr:spPr>
        <a:xfrm>
          <a:off x="9804400" y="241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1</xdr:row>
      <xdr:rowOff>123825</xdr:rowOff>
    </xdr:from>
    <xdr:to>
      <xdr:col>14</xdr:col>
      <xdr:colOff>622300</xdr:colOff>
      <xdr:row>1</xdr:row>
      <xdr:rowOff>123825</xdr:rowOff>
    </xdr:to>
    <xdr:cxnSp macro="SetVerDir">
      <xdr:nvCxnSpPr>
        <xdr:cNvPr id="7190" name="DalekRowDir01">
          <a:extLst>
            <a:ext uri="{FF2B5EF4-FFF2-40B4-BE49-F238E27FC236}">
              <a16:creationId xmlns:a16="http://schemas.microsoft.com/office/drawing/2014/main" id="{FC39DF9B-99A9-4E6E-9A5F-052166D21B56}"/>
            </a:ext>
          </a:extLst>
        </xdr:cNvPr>
        <xdr:cNvCxnSpPr/>
      </xdr:nvCxnSpPr>
      <xdr:spPr>
        <a:xfrm flipV="1">
          <a:off x="9842500" y="304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2</xdr:row>
      <xdr:rowOff>133350</xdr:rowOff>
    </xdr:from>
    <xdr:to>
      <xdr:col>14</xdr:col>
      <xdr:colOff>558800</xdr:colOff>
      <xdr:row>4</xdr:row>
      <xdr:rowOff>0</xdr:rowOff>
    </xdr:to>
    <xdr:sp macro="SetVerDir" textlink="">
      <xdr:nvSpPr>
        <xdr:cNvPr id="7191" name="DalekRow02">
          <a:extLst>
            <a:ext uri="{FF2B5EF4-FFF2-40B4-BE49-F238E27FC236}">
              <a16:creationId xmlns:a16="http://schemas.microsoft.com/office/drawing/2014/main" id="{AD36A86F-F6D2-4F5B-B371-314BF8618888}"/>
            </a:ext>
          </a:extLst>
        </xdr:cNvPr>
        <xdr:cNvSpPr/>
      </xdr:nvSpPr>
      <xdr:spPr>
        <a:xfrm>
          <a:off x="9804400" y="495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3</xdr:row>
      <xdr:rowOff>15875</xdr:rowOff>
    </xdr:from>
    <xdr:to>
      <xdr:col>14</xdr:col>
      <xdr:colOff>622300</xdr:colOff>
      <xdr:row>3</xdr:row>
      <xdr:rowOff>15875</xdr:rowOff>
    </xdr:to>
    <xdr:cxnSp macro="SetVerDir">
      <xdr:nvCxnSpPr>
        <xdr:cNvPr id="7192" name="DalekRowDir02">
          <a:extLst>
            <a:ext uri="{FF2B5EF4-FFF2-40B4-BE49-F238E27FC236}">
              <a16:creationId xmlns:a16="http://schemas.microsoft.com/office/drawing/2014/main" id="{33A4A5D8-9CAF-4036-A574-3E49F676A1C2}"/>
            </a:ext>
          </a:extLst>
        </xdr:cNvPr>
        <xdr:cNvCxnSpPr/>
      </xdr:nvCxnSpPr>
      <xdr:spPr>
        <a:xfrm flipV="1">
          <a:off x="9842500" y="558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4</xdr:row>
      <xdr:rowOff>25400</xdr:rowOff>
    </xdr:from>
    <xdr:to>
      <xdr:col>14</xdr:col>
      <xdr:colOff>558800</xdr:colOff>
      <xdr:row>5</xdr:row>
      <xdr:rowOff>73025</xdr:rowOff>
    </xdr:to>
    <xdr:sp macro="SetVerDir" textlink="">
      <xdr:nvSpPr>
        <xdr:cNvPr id="7193" name="DalekRow03">
          <a:extLst>
            <a:ext uri="{FF2B5EF4-FFF2-40B4-BE49-F238E27FC236}">
              <a16:creationId xmlns:a16="http://schemas.microsoft.com/office/drawing/2014/main" id="{1E5F789D-6AC5-43A7-8408-460831BB1C27}"/>
            </a:ext>
          </a:extLst>
        </xdr:cNvPr>
        <xdr:cNvSpPr/>
      </xdr:nvSpPr>
      <xdr:spPr>
        <a:xfrm>
          <a:off x="9804400" y="749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4</xdr:row>
      <xdr:rowOff>88900</xdr:rowOff>
    </xdr:from>
    <xdr:to>
      <xdr:col>14</xdr:col>
      <xdr:colOff>622300</xdr:colOff>
      <xdr:row>4</xdr:row>
      <xdr:rowOff>88900</xdr:rowOff>
    </xdr:to>
    <xdr:cxnSp macro="SetVerDir">
      <xdr:nvCxnSpPr>
        <xdr:cNvPr id="7194" name="DalekRowDir03">
          <a:extLst>
            <a:ext uri="{FF2B5EF4-FFF2-40B4-BE49-F238E27FC236}">
              <a16:creationId xmlns:a16="http://schemas.microsoft.com/office/drawing/2014/main" id="{0927DFBC-AB71-4BD4-81F7-F290FAFB4150}"/>
            </a:ext>
          </a:extLst>
        </xdr:cNvPr>
        <xdr:cNvCxnSpPr/>
      </xdr:nvCxnSpPr>
      <xdr:spPr>
        <a:xfrm flipV="1">
          <a:off x="9842500" y="812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5</xdr:row>
      <xdr:rowOff>98425</xdr:rowOff>
    </xdr:from>
    <xdr:to>
      <xdr:col>14</xdr:col>
      <xdr:colOff>558800</xdr:colOff>
      <xdr:row>6</xdr:row>
      <xdr:rowOff>146050</xdr:rowOff>
    </xdr:to>
    <xdr:sp macro="SetVerDir" textlink="">
      <xdr:nvSpPr>
        <xdr:cNvPr id="7195" name="DalekRow04">
          <a:extLst>
            <a:ext uri="{FF2B5EF4-FFF2-40B4-BE49-F238E27FC236}">
              <a16:creationId xmlns:a16="http://schemas.microsoft.com/office/drawing/2014/main" id="{54C7DBC4-14BF-4608-9B2B-9C12F3A422CF}"/>
            </a:ext>
          </a:extLst>
        </xdr:cNvPr>
        <xdr:cNvSpPr/>
      </xdr:nvSpPr>
      <xdr:spPr>
        <a:xfrm>
          <a:off x="9804400" y="1003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5</xdr:row>
      <xdr:rowOff>161925</xdr:rowOff>
    </xdr:from>
    <xdr:to>
      <xdr:col>14</xdr:col>
      <xdr:colOff>622300</xdr:colOff>
      <xdr:row>5</xdr:row>
      <xdr:rowOff>161925</xdr:rowOff>
    </xdr:to>
    <xdr:cxnSp macro="SetVerDir">
      <xdr:nvCxnSpPr>
        <xdr:cNvPr id="7196" name="DalekRowDir04">
          <a:extLst>
            <a:ext uri="{FF2B5EF4-FFF2-40B4-BE49-F238E27FC236}">
              <a16:creationId xmlns:a16="http://schemas.microsoft.com/office/drawing/2014/main" id="{1C0E8282-9B17-4F72-A2C3-E12C43B515E0}"/>
            </a:ext>
          </a:extLst>
        </xdr:cNvPr>
        <xdr:cNvCxnSpPr/>
      </xdr:nvCxnSpPr>
      <xdr:spPr>
        <a:xfrm flipV="1">
          <a:off x="9842500" y="1066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6</xdr:row>
      <xdr:rowOff>171450</xdr:rowOff>
    </xdr:from>
    <xdr:to>
      <xdr:col>14</xdr:col>
      <xdr:colOff>558800</xdr:colOff>
      <xdr:row>8</xdr:row>
      <xdr:rowOff>38100</xdr:rowOff>
    </xdr:to>
    <xdr:sp macro="SetVerDir" textlink="">
      <xdr:nvSpPr>
        <xdr:cNvPr id="7197" name="DalekRow05">
          <a:extLst>
            <a:ext uri="{FF2B5EF4-FFF2-40B4-BE49-F238E27FC236}">
              <a16:creationId xmlns:a16="http://schemas.microsoft.com/office/drawing/2014/main" id="{EEC33EEE-EE5A-41BB-8E95-3F3B08EF58F9}"/>
            </a:ext>
          </a:extLst>
        </xdr:cNvPr>
        <xdr:cNvSpPr/>
      </xdr:nvSpPr>
      <xdr:spPr>
        <a:xfrm>
          <a:off x="9804400" y="1257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7</xdr:row>
      <xdr:rowOff>53975</xdr:rowOff>
    </xdr:from>
    <xdr:to>
      <xdr:col>14</xdr:col>
      <xdr:colOff>622300</xdr:colOff>
      <xdr:row>7</xdr:row>
      <xdr:rowOff>53975</xdr:rowOff>
    </xdr:to>
    <xdr:cxnSp macro="SetVerDir">
      <xdr:nvCxnSpPr>
        <xdr:cNvPr id="7198" name="DalekRowDir05">
          <a:extLst>
            <a:ext uri="{FF2B5EF4-FFF2-40B4-BE49-F238E27FC236}">
              <a16:creationId xmlns:a16="http://schemas.microsoft.com/office/drawing/2014/main" id="{53E85128-AF25-44FB-BA13-AF01E9591F0D}"/>
            </a:ext>
          </a:extLst>
        </xdr:cNvPr>
        <xdr:cNvCxnSpPr/>
      </xdr:nvCxnSpPr>
      <xdr:spPr>
        <a:xfrm flipV="1">
          <a:off x="9842500" y="1320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15</xdr:row>
      <xdr:rowOff>98425</xdr:rowOff>
    </xdr:from>
    <xdr:to>
      <xdr:col>3</xdr:col>
      <xdr:colOff>292100</xdr:colOff>
      <xdr:row>16</xdr:row>
      <xdr:rowOff>107950</xdr:rowOff>
    </xdr:to>
    <xdr:sp macro="SetFill" textlink="">
      <xdr:nvSpPr>
        <xdr:cNvPr id="7199" name="DalekFillLED0">
          <a:extLst>
            <a:ext uri="{FF2B5EF4-FFF2-40B4-BE49-F238E27FC236}">
              <a16:creationId xmlns:a16="http://schemas.microsoft.com/office/drawing/2014/main" id="{C03AE5F3-3EBE-4A25-A67F-6CAEB87EEBDE}"/>
            </a:ext>
          </a:extLst>
        </xdr:cNvPr>
        <xdr:cNvSpPr/>
      </xdr:nvSpPr>
      <xdr:spPr>
        <a:xfrm>
          <a:off x="2159000" y="3175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355600</xdr:colOff>
      <xdr:row>15</xdr:row>
      <xdr:rowOff>98425</xdr:rowOff>
    </xdr:from>
    <xdr:to>
      <xdr:col>3</xdr:col>
      <xdr:colOff>546100</xdr:colOff>
      <xdr:row>16</xdr:row>
      <xdr:rowOff>107950</xdr:rowOff>
    </xdr:to>
    <xdr:sp macro="SetFill" textlink="">
      <xdr:nvSpPr>
        <xdr:cNvPr id="5728" name="DalekFillLED1">
          <a:extLst>
            <a:ext uri="{FF2B5EF4-FFF2-40B4-BE49-F238E27FC236}">
              <a16:creationId xmlns:a16="http://schemas.microsoft.com/office/drawing/2014/main" id="{9C9D3A60-FDD1-4613-ACEF-90520024195D}"/>
            </a:ext>
          </a:extLst>
        </xdr:cNvPr>
        <xdr:cNvSpPr/>
      </xdr:nvSpPr>
      <xdr:spPr>
        <a:xfrm>
          <a:off x="2413000" y="3175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609600</xdr:colOff>
      <xdr:row>15</xdr:row>
      <xdr:rowOff>98425</xdr:rowOff>
    </xdr:from>
    <xdr:to>
      <xdr:col>4</xdr:col>
      <xdr:colOff>114300</xdr:colOff>
      <xdr:row>16</xdr:row>
      <xdr:rowOff>107950</xdr:rowOff>
    </xdr:to>
    <xdr:sp macro="SetFill" textlink="">
      <xdr:nvSpPr>
        <xdr:cNvPr id="5729" name="DalekFillLED2">
          <a:extLst>
            <a:ext uri="{FF2B5EF4-FFF2-40B4-BE49-F238E27FC236}">
              <a16:creationId xmlns:a16="http://schemas.microsoft.com/office/drawing/2014/main" id="{67DC5F06-AE92-4003-B4D0-8ADB4581FA45}"/>
            </a:ext>
          </a:extLst>
        </xdr:cNvPr>
        <xdr:cNvSpPr/>
      </xdr:nvSpPr>
      <xdr:spPr>
        <a:xfrm>
          <a:off x="2667000" y="3175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177800</xdr:colOff>
      <xdr:row>15</xdr:row>
      <xdr:rowOff>98425</xdr:rowOff>
    </xdr:from>
    <xdr:to>
      <xdr:col>4</xdr:col>
      <xdr:colOff>368300</xdr:colOff>
      <xdr:row>16</xdr:row>
      <xdr:rowOff>107950</xdr:rowOff>
    </xdr:to>
    <xdr:sp macro="SetFill" textlink="">
      <xdr:nvSpPr>
        <xdr:cNvPr id="5730" name="DalekFillLED3">
          <a:extLst>
            <a:ext uri="{FF2B5EF4-FFF2-40B4-BE49-F238E27FC236}">
              <a16:creationId xmlns:a16="http://schemas.microsoft.com/office/drawing/2014/main" id="{E70DA896-DF94-4712-AD3E-1973354F7763}"/>
            </a:ext>
          </a:extLst>
        </xdr:cNvPr>
        <xdr:cNvSpPr/>
      </xdr:nvSpPr>
      <xdr:spPr>
        <a:xfrm>
          <a:off x="2921000" y="3175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431800</xdr:colOff>
      <xdr:row>15</xdr:row>
      <xdr:rowOff>98425</xdr:rowOff>
    </xdr:from>
    <xdr:to>
      <xdr:col>4</xdr:col>
      <xdr:colOff>622300</xdr:colOff>
      <xdr:row>16</xdr:row>
      <xdr:rowOff>107950</xdr:rowOff>
    </xdr:to>
    <xdr:sp macro="SetFill" textlink="">
      <xdr:nvSpPr>
        <xdr:cNvPr id="5731" name="DalekFillLED4">
          <a:extLst>
            <a:ext uri="{FF2B5EF4-FFF2-40B4-BE49-F238E27FC236}">
              <a16:creationId xmlns:a16="http://schemas.microsoft.com/office/drawing/2014/main" id="{3CDFF5B0-1C29-4498-B4DB-6880B0A4C172}"/>
            </a:ext>
          </a:extLst>
        </xdr:cNvPr>
        <xdr:cNvSpPr/>
      </xdr:nvSpPr>
      <xdr:spPr>
        <a:xfrm>
          <a:off x="3175000" y="3175000"/>
          <a:ext cx="190500" cy="190500"/>
        </a:xfrm>
        <a:prstGeom prst="ellipse">
          <a:avLst/>
        </a:prstGeom>
        <a:gradFill flip="none" rotWithShape="1">
          <a:gsLst>
            <a:gs pos="0">
              <a:srgbClr val="FF0000"/>
            </a:gs>
            <a:gs pos="100000">
              <a:srgbClr val="FF0000">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0</xdr:colOff>
      <xdr:row>15</xdr:row>
      <xdr:rowOff>98425</xdr:rowOff>
    </xdr:from>
    <xdr:to>
      <xdr:col>5</xdr:col>
      <xdr:colOff>190500</xdr:colOff>
      <xdr:row>16</xdr:row>
      <xdr:rowOff>107950</xdr:rowOff>
    </xdr:to>
    <xdr:sp macro="SetFill" textlink="">
      <xdr:nvSpPr>
        <xdr:cNvPr id="5732" name="DalekFillLED5">
          <a:extLst>
            <a:ext uri="{FF2B5EF4-FFF2-40B4-BE49-F238E27FC236}">
              <a16:creationId xmlns:a16="http://schemas.microsoft.com/office/drawing/2014/main" id="{7BB9369A-BBF1-4CF3-8FA2-C0DB085D5A55}"/>
            </a:ext>
          </a:extLst>
        </xdr:cNvPr>
        <xdr:cNvSpPr/>
      </xdr:nvSpPr>
      <xdr:spPr>
        <a:xfrm>
          <a:off x="3429000" y="3175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254000</xdr:colOff>
      <xdr:row>15</xdr:row>
      <xdr:rowOff>98425</xdr:rowOff>
    </xdr:from>
    <xdr:to>
      <xdr:col>5</xdr:col>
      <xdr:colOff>444500</xdr:colOff>
      <xdr:row>16</xdr:row>
      <xdr:rowOff>107950</xdr:rowOff>
    </xdr:to>
    <xdr:sp macro="SetFill" textlink="">
      <xdr:nvSpPr>
        <xdr:cNvPr id="5733" name="DalekFillLED6">
          <a:extLst>
            <a:ext uri="{FF2B5EF4-FFF2-40B4-BE49-F238E27FC236}">
              <a16:creationId xmlns:a16="http://schemas.microsoft.com/office/drawing/2014/main" id="{611CCF60-6BD1-47C5-958A-DA27A2F0AABC}"/>
            </a:ext>
          </a:extLst>
        </xdr:cNvPr>
        <xdr:cNvSpPr/>
      </xdr:nvSpPr>
      <xdr:spPr>
        <a:xfrm>
          <a:off x="3683000" y="3175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508000</xdr:colOff>
      <xdr:row>15</xdr:row>
      <xdr:rowOff>98425</xdr:rowOff>
    </xdr:from>
    <xdr:to>
      <xdr:col>6</xdr:col>
      <xdr:colOff>12700</xdr:colOff>
      <xdr:row>16</xdr:row>
      <xdr:rowOff>107950</xdr:rowOff>
    </xdr:to>
    <xdr:sp macro="SetFill" textlink="">
      <xdr:nvSpPr>
        <xdr:cNvPr id="5734" name="DalekFillLED7">
          <a:extLst>
            <a:ext uri="{FF2B5EF4-FFF2-40B4-BE49-F238E27FC236}">
              <a16:creationId xmlns:a16="http://schemas.microsoft.com/office/drawing/2014/main" id="{FB9701CC-0BC7-47B9-A96D-CC2BABA5704C}"/>
            </a:ext>
          </a:extLst>
        </xdr:cNvPr>
        <xdr:cNvSpPr/>
      </xdr:nvSpPr>
      <xdr:spPr>
        <a:xfrm>
          <a:off x="3937000" y="3175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203200</xdr:colOff>
      <xdr:row>16</xdr:row>
      <xdr:rowOff>44450</xdr:rowOff>
    </xdr:from>
    <xdr:to>
      <xdr:col>1</xdr:col>
      <xdr:colOff>584200</xdr:colOff>
      <xdr:row>18</xdr:row>
      <xdr:rowOff>63500</xdr:rowOff>
    </xdr:to>
    <xdr:sp macro="SetEye" textlink="">
      <xdr:nvSpPr>
        <xdr:cNvPr id="5735" name="DalekEyeNose1">
          <a:extLst>
            <a:ext uri="{FF2B5EF4-FFF2-40B4-BE49-F238E27FC236}">
              <a16:creationId xmlns:a16="http://schemas.microsoft.com/office/drawing/2014/main" id="{31724CCF-1CD4-4457-97CC-706610BDD6FB}"/>
            </a:ext>
          </a:extLst>
        </xdr:cNvPr>
        <xdr:cNvSpPr/>
      </xdr:nvSpPr>
      <xdr:spPr>
        <a:xfrm>
          <a:off x="889000" y="3302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508000</xdr:colOff>
      <xdr:row>13</xdr:row>
      <xdr:rowOff>79375</xdr:rowOff>
    </xdr:from>
    <xdr:to>
      <xdr:col>1</xdr:col>
      <xdr:colOff>203200</xdr:colOff>
      <xdr:row>15</xdr:row>
      <xdr:rowOff>98425</xdr:rowOff>
    </xdr:to>
    <xdr:sp macro="SetEye" textlink="">
      <xdr:nvSpPr>
        <xdr:cNvPr id="5736" name="DalekEyeNose2">
          <a:extLst>
            <a:ext uri="{FF2B5EF4-FFF2-40B4-BE49-F238E27FC236}">
              <a16:creationId xmlns:a16="http://schemas.microsoft.com/office/drawing/2014/main" id="{CFADDA21-86A7-4A80-B077-8E217BCF7F4A}"/>
            </a:ext>
          </a:extLst>
        </xdr:cNvPr>
        <xdr:cNvSpPr/>
      </xdr:nvSpPr>
      <xdr:spPr>
        <a:xfrm>
          <a:off x="508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584200</xdr:colOff>
      <xdr:row>13</xdr:row>
      <xdr:rowOff>79375</xdr:rowOff>
    </xdr:from>
    <xdr:to>
      <xdr:col>2</xdr:col>
      <xdr:colOff>279400</xdr:colOff>
      <xdr:row>15</xdr:row>
      <xdr:rowOff>98425</xdr:rowOff>
    </xdr:to>
    <xdr:sp macro="SetEye" textlink="">
      <xdr:nvSpPr>
        <xdr:cNvPr id="5737" name="DalekEyeNose3">
          <a:extLst>
            <a:ext uri="{FF2B5EF4-FFF2-40B4-BE49-F238E27FC236}">
              <a16:creationId xmlns:a16="http://schemas.microsoft.com/office/drawing/2014/main" id="{EEF62289-28EA-41F8-B8C3-4E57C2996445}"/>
            </a:ext>
          </a:extLst>
        </xdr:cNvPr>
        <xdr:cNvSpPr/>
      </xdr:nvSpPr>
      <xdr:spPr>
        <a:xfrm>
          <a:off x="1270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6</xdr:row>
          <xdr:rowOff>219075</xdr:rowOff>
        </xdr:from>
        <xdr:to>
          <xdr:col>5</xdr:col>
          <xdr:colOff>600075</xdr:colOff>
          <xdr:row>8</xdr:row>
          <xdr:rowOff>133350</xdr:rowOff>
        </xdr:to>
        <xdr:sp macro="" textlink="">
          <xdr:nvSpPr>
            <xdr:cNvPr id="112641" name="btnSetTimingRing" hidden="1">
              <a:extLst>
                <a:ext uri="{63B3BB69-23CF-44E3-9099-C40C66FF867C}">
                  <a14:compatExt spid="_x0000_s112641"/>
                </a:ext>
                <a:ext uri="{FF2B5EF4-FFF2-40B4-BE49-F238E27FC236}">
                  <a16:creationId xmlns:a16="http://schemas.microsoft.com/office/drawing/2014/main" id="{00000000-0008-0000-0100-00000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9525</xdr:rowOff>
        </xdr:from>
        <xdr:to>
          <xdr:col>8</xdr:col>
          <xdr:colOff>1428750</xdr:colOff>
          <xdr:row>10</xdr:row>
          <xdr:rowOff>133350</xdr:rowOff>
        </xdr:to>
        <xdr:sp macro="" textlink="">
          <xdr:nvSpPr>
            <xdr:cNvPr id="112642" name="btnSetColorRing" hidden="1">
              <a:extLst>
                <a:ext uri="{63B3BB69-23CF-44E3-9099-C40C66FF867C}">
                  <a14:compatExt spid="_x0000_s112642"/>
                </a:ext>
                <a:ext uri="{FF2B5EF4-FFF2-40B4-BE49-F238E27FC236}">
                  <a16:creationId xmlns:a16="http://schemas.microsoft.com/office/drawing/2014/main" id="{00000000-0008-0000-0100-00000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11</xdr:row>
          <xdr:rowOff>95250</xdr:rowOff>
        </xdr:from>
        <xdr:to>
          <xdr:col>5</xdr:col>
          <xdr:colOff>1200150</xdr:colOff>
          <xdr:row>14</xdr:row>
          <xdr:rowOff>9525</xdr:rowOff>
        </xdr:to>
        <xdr:sp macro="" textlink="">
          <xdr:nvSpPr>
            <xdr:cNvPr id="112643" name="btnEraseHEAD" hidden="1">
              <a:extLst>
                <a:ext uri="{63B3BB69-23CF-44E3-9099-C40C66FF867C}">
                  <a14:compatExt spid="_x0000_s112643"/>
                </a:ext>
                <a:ext uri="{FF2B5EF4-FFF2-40B4-BE49-F238E27FC236}">
                  <a16:creationId xmlns:a16="http://schemas.microsoft.com/office/drawing/2014/main" id="{00000000-0008-0000-0100-00000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16</xdr:row>
          <xdr:rowOff>123825</xdr:rowOff>
        </xdr:from>
        <xdr:to>
          <xdr:col>5</xdr:col>
          <xdr:colOff>1181100</xdr:colOff>
          <xdr:row>18</xdr:row>
          <xdr:rowOff>142875</xdr:rowOff>
        </xdr:to>
        <xdr:sp macro="" textlink="">
          <xdr:nvSpPr>
            <xdr:cNvPr id="112644" name="btnPlayHEAD" hidden="1">
              <a:extLst>
                <a:ext uri="{63B3BB69-23CF-44E3-9099-C40C66FF867C}">
                  <a14:compatExt spid="_x0000_s112644"/>
                </a:ext>
                <a:ext uri="{FF2B5EF4-FFF2-40B4-BE49-F238E27FC236}">
                  <a16:creationId xmlns:a16="http://schemas.microsoft.com/office/drawing/2014/main" id="{00000000-0008-0000-0100-00000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xdr:row>
          <xdr:rowOff>180975</xdr:rowOff>
        </xdr:from>
        <xdr:to>
          <xdr:col>5</xdr:col>
          <xdr:colOff>1171575</xdr:colOff>
          <xdr:row>20</xdr:row>
          <xdr:rowOff>200025</xdr:rowOff>
        </xdr:to>
        <xdr:sp macro="" textlink="">
          <xdr:nvSpPr>
            <xdr:cNvPr id="112645" name="cmdStopPlayingHead" hidden="1">
              <a:extLst>
                <a:ext uri="{63B3BB69-23CF-44E3-9099-C40C66FF867C}">
                  <a14:compatExt spid="_x0000_s112645"/>
                </a:ext>
                <a:ext uri="{FF2B5EF4-FFF2-40B4-BE49-F238E27FC236}">
                  <a16:creationId xmlns:a16="http://schemas.microsoft.com/office/drawing/2014/main" id="{00000000-0008-0000-0100-00000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xdr:row>
          <xdr:rowOff>85725</xdr:rowOff>
        </xdr:from>
        <xdr:to>
          <xdr:col>9</xdr:col>
          <xdr:colOff>1295400</xdr:colOff>
          <xdr:row>2</xdr:row>
          <xdr:rowOff>352425</xdr:rowOff>
        </xdr:to>
        <xdr:sp macro="" textlink="">
          <xdr:nvSpPr>
            <xdr:cNvPr id="112647" name="cmbLeftEyeColor" hidden="1">
              <a:extLst>
                <a:ext uri="{63B3BB69-23CF-44E3-9099-C40C66FF867C}">
                  <a14:compatExt spid="_x0000_s112647"/>
                </a:ext>
                <a:ext uri="{FF2B5EF4-FFF2-40B4-BE49-F238E27FC236}">
                  <a16:creationId xmlns:a16="http://schemas.microsoft.com/office/drawing/2014/main" id="{00000000-0008-0000-01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85725</xdr:rowOff>
        </xdr:from>
        <xdr:to>
          <xdr:col>10</xdr:col>
          <xdr:colOff>1295400</xdr:colOff>
          <xdr:row>2</xdr:row>
          <xdr:rowOff>352425</xdr:rowOff>
        </xdr:to>
        <xdr:sp macro="" textlink="">
          <xdr:nvSpPr>
            <xdr:cNvPr id="112649" name="cmbNoseColor" hidden="1">
              <a:extLst>
                <a:ext uri="{63B3BB69-23CF-44E3-9099-C40C66FF867C}">
                  <a14:compatExt spid="_x0000_s112649"/>
                </a:ext>
                <a:ext uri="{FF2B5EF4-FFF2-40B4-BE49-F238E27FC236}">
                  <a16:creationId xmlns:a16="http://schemas.microsoft.com/office/drawing/2014/main" id="{00000000-0008-0000-0100-00000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xdr:row>
          <xdr:rowOff>85725</xdr:rowOff>
        </xdr:from>
        <xdr:to>
          <xdr:col>11</xdr:col>
          <xdr:colOff>1295400</xdr:colOff>
          <xdr:row>2</xdr:row>
          <xdr:rowOff>352425</xdr:rowOff>
        </xdr:to>
        <xdr:sp macro="" textlink="">
          <xdr:nvSpPr>
            <xdr:cNvPr id="112650" name="cmbRightEyeColor" hidden="1">
              <a:extLst>
                <a:ext uri="{63B3BB69-23CF-44E3-9099-C40C66FF867C}">
                  <a14:compatExt spid="_x0000_s112650"/>
                </a:ext>
                <a:ext uri="{FF2B5EF4-FFF2-40B4-BE49-F238E27FC236}">
                  <a16:creationId xmlns:a16="http://schemas.microsoft.com/office/drawing/2014/main" id="{00000000-0008-0000-01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85725</xdr:rowOff>
        </xdr:from>
        <xdr:to>
          <xdr:col>9</xdr:col>
          <xdr:colOff>1295400</xdr:colOff>
          <xdr:row>3</xdr:row>
          <xdr:rowOff>352425</xdr:rowOff>
        </xdr:to>
        <xdr:sp macro="" textlink="">
          <xdr:nvSpPr>
            <xdr:cNvPr id="112651" name="cmbLeftEyePattern" hidden="1">
              <a:extLst>
                <a:ext uri="{63B3BB69-23CF-44E3-9099-C40C66FF867C}">
                  <a14:compatExt spid="_x0000_s112651"/>
                </a:ext>
                <a:ext uri="{FF2B5EF4-FFF2-40B4-BE49-F238E27FC236}">
                  <a16:creationId xmlns:a16="http://schemas.microsoft.com/office/drawing/2014/main" id="{00000000-0008-0000-01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85725</xdr:rowOff>
        </xdr:from>
        <xdr:to>
          <xdr:col>10</xdr:col>
          <xdr:colOff>1295400</xdr:colOff>
          <xdr:row>3</xdr:row>
          <xdr:rowOff>352425</xdr:rowOff>
        </xdr:to>
        <xdr:sp macro="" textlink="">
          <xdr:nvSpPr>
            <xdr:cNvPr id="112653" name="cmbNosePattern" hidden="1">
              <a:extLst>
                <a:ext uri="{63B3BB69-23CF-44E3-9099-C40C66FF867C}">
                  <a14:compatExt spid="_x0000_s112653"/>
                </a:ext>
                <a:ext uri="{FF2B5EF4-FFF2-40B4-BE49-F238E27FC236}">
                  <a16:creationId xmlns:a16="http://schemas.microsoft.com/office/drawing/2014/main" id="{00000000-0008-0000-0100-00000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xdr:row>
          <xdr:rowOff>85725</xdr:rowOff>
        </xdr:from>
        <xdr:to>
          <xdr:col>11</xdr:col>
          <xdr:colOff>1295400</xdr:colOff>
          <xdr:row>3</xdr:row>
          <xdr:rowOff>352425</xdr:rowOff>
        </xdr:to>
        <xdr:sp macro="" textlink="">
          <xdr:nvSpPr>
            <xdr:cNvPr id="112654" name="cmbRightEyePattern" hidden="1">
              <a:extLst>
                <a:ext uri="{63B3BB69-23CF-44E3-9099-C40C66FF867C}">
                  <a14:compatExt spid="_x0000_s112654"/>
                </a:ext>
                <a:ext uri="{FF2B5EF4-FFF2-40B4-BE49-F238E27FC236}">
                  <a16:creationId xmlns:a16="http://schemas.microsoft.com/office/drawing/2014/main" id="{00000000-0008-0000-0100-00000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1238250</xdr:colOff>
          <xdr:row>8</xdr:row>
          <xdr:rowOff>9525</xdr:rowOff>
        </xdr:from>
        <xdr:to>
          <xdr:col>7</xdr:col>
          <xdr:colOff>9525</xdr:colOff>
          <xdr:row>10</xdr:row>
          <xdr:rowOff>133350</xdr:rowOff>
        </xdr:to>
        <xdr:sp macro="" textlink="">
          <xdr:nvSpPr>
            <xdr:cNvPr id="112656" name="btnSetColorHead" hidden="1">
              <a:extLst>
                <a:ext uri="{63B3BB69-23CF-44E3-9099-C40C66FF867C}">
                  <a14:compatExt spid="_x0000_s112656"/>
                </a:ext>
                <a:ext uri="{FF2B5EF4-FFF2-40B4-BE49-F238E27FC236}">
                  <a16:creationId xmlns:a16="http://schemas.microsoft.com/office/drawing/2014/main" id="{00000000-0008-0000-0100-00001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19050</xdr:rowOff>
        </xdr:from>
        <xdr:to>
          <xdr:col>5</xdr:col>
          <xdr:colOff>609600</xdr:colOff>
          <xdr:row>10</xdr:row>
          <xdr:rowOff>171450</xdr:rowOff>
        </xdr:to>
        <xdr:sp macro="" textlink="">
          <xdr:nvSpPr>
            <xdr:cNvPr id="112658" name="btnSetTimingHead" hidden="1">
              <a:extLst>
                <a:ext uri="{63B3BB69-23CF-44E3-9099-C40C66FF867C}">
                  <a14:compatExt spid="_x0000_s112658"/>
                </a:ext>
                <a:ext uri="{FF2B5EF4-FFF2-40B4-BE49-F238E27FC236}">
                  <a16:creationId xmlns:a16="http://schemas.microsoft.com/office/drawing/2014/main" id="{00000000-0008-0000-0100-00001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xdr:row>
          <xdr:rowOff>28575</xdr:rowOff>
        </xdr:from>
        <xdr:to>
          <xdr:col>1</xdr:col>
          <xdr:colOff>1038225</xdr:colOff>
          <xdr:row>3</xdr:row>
          <xdr:rowOff>333375</xdr:rowOff>
        </xdr:to>
        <xdr:sp macro="" textlink="">
          <xdr:nvSpPr>
            <xdr:cNvPr id="112659" name="btnLeft" hidden="1">
              <a:extLst>
                <a:ext uri="{63B3BB69-23CF-44E3-9099-C40C66FF867C}">
                  <a14:compatExt spid="_x0000_s112659"/>
                </a:ext>
                <a:ext uri="{FF2B5EF4-FFF2-40B4-BE49-F238E27FC236}">
                  <a16:creationId xmlns:a16="http://schemas.microsoft.com/office/drawing/2014/main" id="{00000000-0008-0000-0100-00001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28575</xdr:rowOff>
        </xdr:from>
        <xdr:to>
          <xdr:col>2</xdr:col>
          <xdr:colOff>933450</xdr:colOff>
          <xdr:row>3</xdr:row>
          <xdr:rowOff>333375</xdr:rowOff>
        </xdr:to>
        <xdr:sp macro="" textlink="">
          <xdr:nvSpPr>
            <xdr:cNvPr id="112660" name="btnRigh" hidden="1">
              <a:extLst>
                <a:ext uri="{63B3BB69-23CF-44E3-9099-C40C66FF867C}">
                  <a14:compatExt spid="_x0000_s112660"/>
                </a:ext>
                <a:ext uri="{FF2B5EF4-FFF2-40B4-BE49-F238E27FC236}">
                  <a16:creationId xmlns:a16="http://schemas.microsoft.com/office/drawing/2014/main" id="{00000000-0008-0000-0100-00001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76200</xdr:rowOff>
        </xdr:from>
        <xdr:to>
          <xdr:col>1</xdr:col>
          <xdr:colOff>1047750</xdr:colOff>
          <xdr:row>2</xdr:row>
          <xdr:rowOff>381000</xdr:rowOff>
        </xdr:to>
        <xdr:sp macro="" textlink="">
          <xdr:nvSpPr>
            <xdr:cNvPr id="112661" name="btnErase" hidden="1">
              <a:extLst>
                <a:ext uri="{63B3BB69-23CF-44E3-9099-C40C66FF867C}">
                  <a14:compatExt spid="_x0000_s112661"/>
                </a:ext>
                <a:ext uri="{FF2B5EF4-FFF2-40B4-BE49-F238E27FC236}">
                  <a16:creationId xmlns:a16="http://schemas.microsoft.com/office/drawing/2014/main" id="{00000000-0008-0000-0100-00001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2</xdr:col>
          <xdr:colOff>933450</xdr:colOff>
          <xdr:row>2</xdr:row>
          <xdr:rowOff>390525</xdr:rowOff>
        </xdr:to>
        <xdr:sp macro="" textlink="">
          <xdr:nvSpPr>
            <xdr:cNvPr id="112662" name="btnFill" hidden="1">
              <a:extLst>
                <a:ext uri="{63B3BB69-23CF-44E3-9099-C40C66FF867C}">
                  <a14:compatExt spid="_x0000_s112662"/>
                </a:ext>
                <a:ext uri="{FF2B5EF4-FFF2-40B4-BE49-F238E27FC236}">
                  <a16:creationId xmlns:a16="http://schemas.microsoft.com/office/drawing/2014/main" id="{00000000-0008-0000-0100-000016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xdr:row>
          <xdr:rowOff>133350</xdr:rowOff>
        </xdr:from>
        <xdr:to>
          <xdr:col>4</xdr:col>
          <xdr:colOff>476250</xdr:colOff>
          <xdr:row>2</xdr:row>
          <xdr:rowOff>352425</xdr:rowOff>
        </xdr:to>
        <xdr:sp macro="" textlink="">
          <xdr:nvSpPr>
            <xdr:cNvPr id="112663" name="CBfill" hidden="1">
              <a:extLst>
                <a:ext uri="{63B3BB69-23CF-44E3-9099-C40C66FF867C}">
                  <a14:compatExt spid="_x0000_s112663"/>
                </a:ext>
                <a:ext uri="{FF2B5EF4-FFF2-40B4-BE49-F238E27FC236}">
                  <a16:creationId xmlns:a16="http://schemas.microsoft.com/office/drawing/2014/main" id="{00000000-0008-0000-0100-00001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1066800</xdr:colOff>
          <xdr:row>2</xdr:row>
          <xdr:rowOff>104775</xdr:rowOff>
        </xdr:from>
        <xdr:to>
          <xdr:col>3</xdr:col>
          <xdr:colOff>285750</xdr:colOff>
          <xdr:row>2</xdr:row>
          <xdr:rowOff>361950</xdr:rowOff>
        </xdr:to>
        <xdr:sp macro="" textlink="">
          <xdr:nvSpPr>
            <xdr:cNvPr id="112664" name="CBrotate" hidden="1">
              <a:extLst>
                <a:ext uri="{63B3BB69-23CF-44E3-9099-C40C66FF867C}">
                  <a14:compatExt spid="_x0000_s112664"/>
                </a:ext>
                <a:ext uri="{FF2B5EF4-FFF2-40B4-BE49-F238E27FC236}">
                  <a16:creationId xmlns:a16="http://schemas.microsoft.com/office/drawing/2014/main" id="{00000000-0008-0000-0100-00001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409575</xdr:rowOff>
        </xdr:from>
        <xdr:to>
          <xdr:col>1</xdr:col>
          <xdr:colOff>1047750</xdr:colOff>
          <xdr:row>4</xdr:row>
          <xdr:rowOff>276225</xdr:rowOff>
        </xdr:to>
        <xdr:sp macro="" textlink="">
          <xdr:nvSpPr>
            <xdr:cNvPr id="112665" name="cmdIn" hidden="1">
              <a:extLst>
                <a:ext uri="{63B3BB69-23CF-44E3-9099-C40C66FF867C}">
                  <a14:compatExt spid="_x0000_s112665"/>
                </a:ext>
                <a:ext uri="{FF2B5EF4-FFF2-40B4-BE49-F238E27FC236}">
                  <a16:creationId xmlns:a16="http://schemas.microsoft.com/office/drawing/2014/main" id="{00000000-0008-0000-0100-00001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400050</xdr:rowOff>
        </xdr:from>
        <xdr:to>
          <xdr:col>2</xdr:col>
          <xdr:colOff>923925</xdr:colOff>
          <xdr:row>4</xdr:row>
          <xdr:rowOff>266700</xdr:rowOff>
        </xdr:to>
        <xdr:sp macro="" textlink="">
          <xdr:nvSpPr>
            <xdr:cNvPr id="112666" name="cmdOut" hidden="1">
              <a:extLst>
                <a:ext uri="{63B3BB69-23CF-44E3-9099-C40C66FF867C}">
                  <a14:compatExt spid="_x0000_s112666"/>
                </a:ext>
                <a:ext uri="{FF2B5EF4-FFF2-40B4-BE49-F238E27FC236}">
                  <a16:creationId xmlns:a16="http://schemas.microsoft.com/office/drawing/2014/main" id="{00000000-0008-0000-0100-00001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2181225</xdr:colOff>
          <xdr:row>11</xdr:row>
          <xdr:rowOff>0</xdr:rowOff>
        </xdr:from>
        <xdr:to>
          <xdr:col>9</xdr:col>
          <xdr:colOff>1152525</xdr:colOff>
          <xdr:row>36</xdr:row>
          <xdr:rowOff>152400</xdr:rowOff>
        </xdr:to>
        <xdr:sp macro="" textlink="">
          <xdr:nvSpPr>
            <xdr:cNvPr id="112667" name="AllCommandsRing" hidden="1">
              <a:extLst>
                <a:ext uri="{63B3BB69-23CF-44E3-9099-C40C66FF867C}">
                  <a14:compatExt spid="_x0000_s112667"/>
                </a:ext>
                <a:ext uri="{FF2B5EF4-FFF2-40B4-BE49-F238E27FC236}">
                  <a16:creationId xmlns:a16="http://schemas.microsoft.com/office/drawing/2014/main" id="{00000000-0008-0000-0100-00001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xdr:row>
          <xdr:rowOff>161925</xdr:rowOff>
        </xdr:from>
        <xdr:to>
          <xdr:col>7</xdr:col>
          <xdr:colOff>609600</xdr:colOff>
          <xdr:row>36</xdr:row>
          <xdr:rowOff>133350</xdr:rowOff>
        </xdr:to>
        <xdr:sp macro="" textlink="">
          <xdr:nvSpPr>
            <xdr:cNvPr id="112668" name="AllCommandsHead" hidden="1">
              <a:extLst>
                <a:ext uri="{63B3BB69-23CF-44E3-9099-C40C66FF867C}">
                  <a14:compatExt spid="_x0000_s112668"/>
                </a:ext>
                <a:ext uri="{FF2B5EF4-FFF2-40B4-BE49-F238E27FC236}">
                  <a16:creationId xmlns:a16="http://schemas.microsoft.com/office/drawing/2014/main" id="{00000000-0008-0000-0100-00001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66675</xdr:rowOff>
        </xdr:from>
        <xdr:to>
          <xdr:col>5</xdr:col>
          <xdr:colOff>1190625</xdr:colOff>
          <xdr:row>16</xdr:row>
          <xdr:rowOff>85725</xdr:rowOff>
        </xdr:to>
        <xdr:sp macro="" textlink="">
          <xdr:nvSpPr>
            <xdr:cNvPr id="112669" name="btnSendBufferHead" hidden="1">
              <a:extLst>
                <a:ext uri="{63B3BB69-23CF-44E3-9099-C40C66FF867C}">
                  <a14:compatExt spid="_x0000_s112669"/>
                </a:ext>
                <a:ext uri="{FF2B5EF4-FFF2-40B4-BE49-F238E27FC236}">
                  <a16:creationId xmlns:a16="http://schemas.microsoft.com/office/drawing/2014/main" id="{00000000-0008-0000-0100-00001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11</xdr:row>
          <xdr:rowOff>0</xdr:rowOff>
        </xdr:from>
        <xdr:to>
          <xdr:col>10</xdr:col>
          <xdr:colOff>857250</xdr:colOff>
          <xdr:row>13</xdr:row>
          <xdr:rowOff>171450</xdr:rowOff>
        </xdr:to>
        <xdr:sp macro="" textlink="">
          <xdr:nvSpPr>
            <xdr:cNvPr id="112670" name="btnEraseRING" hidden="1">
              <a:extLst>
                <a:ext uri="{63B3BB69-23CF-44E3-9099-C40C66FF867C}">
                  <a14:compatExt spid="_x0000_s112670"/>
                </a:ext>
                <a:ext uri="{FF2B5EF4-FFF2-40B4-BE49-F238E27FC236}">
                  <a16:creationId xmlns:a16="http://schemas.microsoft.com/office/drawing/2014/main" id="{00000000-0008-0000-0100-00001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16</xdr:row>
          <xdr:rowOff>28575</xdr:rowOff>
        </xdr:from>
        <xdr:to>
          <xdr:col>10</xdr:col>
          <xdr:colOff>838200</xdr:colOff>
          <xdr:row>18</xdr:row>
          <xdr:rowOff>47625</xdr:rowOff>
        </xdr:to>
        <xdr:sp macro="" textlink="">
          <xdr:nvSpPr>
            <xdr:cNvPr id="112671" name="btnPlayRing" hidden="1">
              <a:extLst>
                <a:ext uri="{63B3BB69-23CF-44E3-9099-C40C66FF867C}">
                  <a14:compatExt spid="_x0000_s112671"/>
                </a:ext>
                <a:ext uri="{FF2B5EF4-FFF2-40B4-BE49-F238E27FC236}">
                  <a16:creationId xmlns:a16="http://schemas.microsoft.com/office/drawing/2014/main" id="{00000000-0008-0000-0100-00001F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1190625</xdr:colOff>
          <xdr:row>18</xdr:row>
          <xdr:rowOff>85725</xdr:rowOff>
        </xdr:from>
        <xdr:to>
          <xdr:col>10</xdr:col>
          <xdr:colOff>828675</xdr:colOff>
          <xdr:row>20</xdr:row>
          <xdr:rowOff>104775</xdr:rowOff>
        </xdr:to>
        <xdr:sp macro="" textlink="">
          <xdr:nvSpPr>
            <xdr:cNvPr id="112672" name="cmdStopPlayingRing" hidden="1">
              <a:extLst>
                <a:ext uri="{63B3BB69-23CF-44E3-9099-C40C66FF867C}">
                  <a14:compatExt spid="_x0000_s112672"/>
                </a:ext>
                <a:ext uri="{FF2B5EF4-FFF2-40B4-BE49-F238E27FC236}">
                  <a16:creationId xmlns:a16="http://schemas.microsoft.com/office/drawing/2014/main" id="{00000000-0008-0000-0100-00002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1200150</xdr:colOff>
          <xdr:row>13</xdr:row>
          <xdr:rowOff>228600</xdr:rowOff>
        </xdr:from>
        <xdr:to>
          <xdr:col>10</xdr:col>
          <xdr:colOff>847725</xdr:colOff>
          <xdr:row>15</xdr:row>
          <xdr:rowOff>247650</xdr:rowOff>
        </xdr:to>
        <xdr:sp macro="" textlink="">
          <xdr:nvSpPr>
            <xdr:cNvPr id="112673" name="btnSendBufferRing" hidden="1">
              <a:extLst>
                <a:ext uri="{63B3BB69-23CF-44E3-9099-C40C66FF867C}">
                  <a14:compatExt spid="_x0000_s112673"/>
                </a:ext>
                <a:ext uri="{FF2B5EF4-FFF2-40B4-BE49-F238E27FC236}">
                  <a16:creationId xmlns:a16="http://schemas.microsoft.com/office/drawing/2014/main" id="{00000000-0008-0000-0100-00002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9525</xdr:rowOff>
        </xdr:from>
        <xdr:to>
          <xdr:col>7</xdr:col>
          <xdr:colOff>809625</xdr:colOff>
          <xdr:row>9</xdr:row>
          <xdr:rowOff>114300</xdr:rowOff>
        </xdr:to>
        <xdr:sp macro="" textlink="">
          <xdr:nvSpPr>
            <xdr:cNvPr id="112674" name="btnCopyHEAD" hidden="1">
              <a:extLst>
                <a:ext uri="{63B3BB69-23CF-44E3-9099-C40C66FF867C}">
                  <a14:compatExt spid="_x0000_s112674"/>
                </a:ext>
                <a:ext uri="{FF2B5EF4-FFF2-40B4-BE49-F238E27FC236}">
                  <a16:creationId xmlns:a16="http://schemas.microsoft.com/office/drawing/2014/main" id="{00000000-0008-0000-0100-00002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628650</xdr:colOff>
          <xdr:row>8</xdr:row>
          <xdr:rowOff>38100</xdr:rowOff>
        </xdr:from>
        <xdr:to>
          <xdr:col>10</xdr:col>
          <xdr:colOff>9525</xdr:colOff>
          <xdr:row>9</xdr:row>
          <xdr:rowOff>142875</xdr:rowOff>
        </xdr:to>
        <xdr:sp macro="" textlink="">
          <xdr:nvSpPr>
            <xdr:cNvPr id="112675" name="btnCopyRing" hidden="1">
              <a:extLst>
                <a:ext uri="{63B3BB69-23CF-44E3-9099-C40C66FF867C}">
                  <a14:compatExt spid="_x0000_s112675"/>
                </a:ext>
                <a:ext uri="{FF2B5EF4-FFF2-40B4-BE49-F238E27FC236}">
                  <a16:creationId xmlns:a16="http://schemas.microsoft.com/office/drawing/2014/main" id="{00000000-0008-0000-0100-00002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152400</xdr:rowOff>
        </xdr:from>
        <xdr:to>
          <xdr:col>7</xdr:col>
          <xdr:colOff>895350</xdr:colOff>
          <xdr:row>10</xdr:row>
          <xdr:rowOff>152400</xdr:rowOff>
        </xdr:to>
        <xdr:sp macro="" textlink="">
          <xdr:nvSpPr>
            <xdr:cNvPr id="112676" name="cbAutoHEAD" hidden="1">
              <a:extLst>
                <a:ext uri="{63B3BB69-23CF-44E3-9099-C40C66FF867C}">
                  <a14:compatExt spid="_x0000_s112676"/>
                </a:ext>
                <a:ext uri="{FF2B5EF4-FFF2-40B4-BE49-F238E27FC236}">
                  <a16:creationId xmlns:a16="http://schemas.microsoft.com/office/drawing/2014/main" id="{00000000-0008-0000-0100-00002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9</xdr:row>
          <xdr:rowOff>171450</xdr:rowOff>
        </xdr:from>
        <xdr:to>
          <xdr:col>10</xdr:col>
          <xdr:colOff>95250</xdr:colOff>
          <xdr:row>10</xdr:row>
          <xdr:rowOff>171450</xdr:rowOff>
        </xdr:to>
        <xdr:sp macro="" textlink="">
          <xdr:nvSpPr>
            <xdr:cNvPr id="112677" name="CheckBox1" hidden="1">
              <a:extLst>
                <a:ext uri="{63B3BB69-23CF-44E3-9099-C40C66FF867C}">
                  <a14:compatExt spid="_x0000_s112677"/>
                </a:ext>
                <a:ext uri="{FF2B5EF4-FFF2-40B4-BE49-F238E27FC236}">
                  <a16:creationId xmlns:a16="http://schemas.microsoft.com/office/drawing/2014/main" id="{00000000-0008-0000-0100-00002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209550</xdr:rowOff>
        </xdr:from>
        <xdr:to>
          <xdr:col>2</xdr:col>
          <xdr:colOff>209550</xdr:colOff>
          <xdr:row>24</xdr:row>
          <xdr:rowOff>19050</xdr:rowOff>
        </xdr:to>
        <xdr:sp macro="" textlink="">
          <xdr:nvSpPr>
            <xdr:cNvPr id="112679" name="btnMiscRingMQTT" hidden="1">
              <a:extLst>
                <a:ext uri="{63B3BB69-23CF-44E3-9099-C40C66FF867C}">
                  <a14:compatExt spid="_x0000_s112679"/>
                </a:ext>
                <a:ext uri="{FF2B5EF4-FFF2-40B4-BE49-F238E27FC236}">
                  <a16:creationId xmlns:a16="http://schemas.microsoft.com/office/drawing/2014/main" id="{00000000-0008-0000-0100-00002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39</xdr:row>
          <xdr:rowOff>171450</xdr:rowOff>
        </xdr:from>
        <xdr:to>
          <xdr:col>2</xdr:col>
          <xdr:colOff>495300</xdr:colOff>
          <xdr:row>43</xdr:row>
          <xdr:rowOff>28575</xdr:rowOff>
        </xdr:to>
        <xdr:sp macro="" textlink="">
          <xdr:nvSpPr>
            <xdr:cNvPr id="112680" name="CommandButton2" hidden="1">
              <a:extLst>
                <a:ext uri="{63B3BB69-23CF-44E3-9099-C40C66FF867C}">
                  <a14:compatExt spid="_x0000_s112680"/>
                </a:ext>
                <a:ext uri="{FF2B5EF4-FFF2-40B4-BE49-F238E27FC236}">
                  <a16:creationId xmlns:a16="http://schemas.microsoft.com/office/drawing/2014/main" id="{00000000-0008-0000-0100-00002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24</xdr:row>
          <xdr:rowOff>95250</xdr:rowOff>
        </xdr:from>
        <xdr:to>
          <xdr:col>2</xdr:col>
          <xdr:colOff>209550</xdr:colOff>
          <xdr:row>26</xdr:row>
          <xdr:rowOff>161925</xdr:rowOff>
        </xdr:to>
        <xdr:sp macro="" textlink="">
          <xdr:nvSpPr>
            <xdr:cNvPr id="112681" name="btnMiscHeadMQTT" hidden="1">
              <a:extLst>
                <a:ext uri="{63B3BB69-23CF-44E3-9099-C40C66FF867C}">
                  <a14:compatExt spid="_x0000_s112681"/>
                </a:ext>
                <a:ext uri="{FF2B5EF4-FFF2-40B4-BE49-F238E27FC236}">
                  <a16:creationId xmlns:a16="http://schemas.microsoft.com/office/drawing/2014/main" id="{00000000-0008-0000-0100-00002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32</xdr:row>
          <xdr:rowOff>57150</xdr:rowOff>
        </xdr:from>
        <xdr:to>
          <xdr:col>4</xdr:col>
          <xdr:colOff>352425</xdr:colOff>
          <xdr:row>33</xdr:row>
          <xdr:rowOff>104775</xdr:rowOff>
        </xdr:to>
        <xdr:sp macro="" textlink="">
          <xdr:nvSpPr>
            <xdr:cNvPr id="112682" name="ActivateHead" hidden="1">
              <a:extLst>
                <a:ext uri="{63B3BB69-23CF-44E3-9099-C40C66FF867C}">
                  <a14:compatExt spid="_x0000_s112682"/>
                </a:ext>
                <a:ext uri="{FF2B5EF4-FFF2-40B4-BE49-F238E27FC236}">
                  <a16:creationId xmlns:a16="http://schemas.microsoft.com/office/drawing/2014/main" id="{00000000-0008-0000-0100-00002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32</xdr:row>
          <xdr:rowOff>66675</xdr:rowOff>
        </xdr:from>
        <xdr:to>
          <xdr:col>2</xdr:col>
          <xdr:colOff>561975</xdr:colOff>
          <xdr:row>33</xdr:row>
          <xdr:rowOff>114300</xdr:rowOff>
        </xdr:to>
        <xdr:sp macro="" textlink="">
          <xdr:nvSpPr>
            <xdr:cNvPr id="112683" name="SleepHead" hidden="1">
              <a:extLst>
                <a:ext uri="{63B3BB69-23CF-44E3-9099-C40C66FF867C}">
                  <a14:compatExt spid="_x0000_s112683"/>
                </a:ext>
                <a:ext uri="{FF2B5EF4-FFF2-40B4-BE49-F238E27FC236}">
                  <a16:creationId xmlns:a16="http://schemas.microsoft.com/office/drawing/2014/main" id="{00000000-0008-0000-0100-00002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30</xdr:row>
          <xdr:rowOff>152400</xdr:rowOff>
        </xdr:from>
        <xdr:to>
          <xdr:col>4</xdr:col>
          <xdr:colOff>352425</xdr:colOff>
          <xdr:row>31</xdr:row>
          <xdr:rowOff>161925</xdr:rowOff>
        </xdr:to>
        <xdr:sp macro="" textlink="">
          <xdr:nvSpPr>
            <xdr:cNvPr id="112684" name="ComboBox1" hidden="1">
              <a:extLst>
                <a:ext uri="{63B3BB69-23CF-44E3-9099-C40C66FF867C}">
                  <a14:compatExt spid="_x0000_s112684"/>
                </a:ext>
                <a:ext uri="{FF2B5EF4-FFF2-40B4-BE49-F238E27FC236}">
                  <a16:creationId xmlns:a16="http://schemas.microsoft.com/office/drawing/2014/main" id="{00000000-0008-0000-0100-00002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7</xdr:col>
      <xdr:colOff>184150</xdr:colOff>
      <xdr:row>5</xdr:row>
      <xdr:rowOff>111125</xdr:rowOff>
    </xdr:from>
    <xdr:to>
      <xdr:col>7</xdr:col>
      <xdr:colOff>374650</xdr:colOff>
      <xdr:row>5</xdr:row>
      <xdr:rowOff>301625</xdr:rowOff>
    </xdr:to>
    <xdr:sp macro="SetRing" textlink="">
      <xdr:nvSpPr>
        <xdr:cNvPr id="112689" name="DalekRing01">
          <a:extLst>
            <a:ext uri="{FF2B5EF4-FFF2-40B4-BE49-F238E27FC236}">
              <a16:creationId xmlns:a16="http://schemas.microsoft.com/office/drawing/2014/main" id="{BA2AE8CB-B4BF-415F-949E-1377341F231C}"/>
            </a:ext>
          </a:extLst>
        </xdr:cNvPr>
        <xdr:cNvSpPr/>
      </xdr:nvSpPr>
      <xdr:spPr>
        <a:xfrm>
          <a:off x="721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488950</xdr:colOff>
      <xdr:row>5</xdr:row>
      <xdr:rowOff>111125</xdr:rowOff>
    </xdr:from>
    <xdr:to>
      <xdr:col>7</xdr:col>
      <xdr:colOff>679450</xdr:colOff>
      <xdr:row>5</xdr:row>
      <xdr:rowOff>301625</xdr:rowOff>
    </xdr:to>
    <xdr:sp macro="SetRing" textlink="">
      <xdr:nvSpPr>
        <xdr:cNvPr id="112690" name="DalekRing02">
          <a:extLst>
            <a:ext uri="{FF2B5EF4-FFF2-40B4-BE49-F238E27FC236}">
              <a16:creationId xmlns:a16="http://schemas.microsoft.com/office/drawing/2014/main" id="{B2242CBB-66E7-44A0-AD81-7AE24724CCA4}"/>
            </a:ext>
          </a:extLst>
        </xdr:cNvPr>
        <xdr:cNvSpPr/>
      </xdr:nvSpPr>
      <xdr:spPr>
        <a:xfrm>
          <a:off x="751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819150</xdr:colOff>
      <xdr:row>5</xdr:row>
      <xdr:rowOff>111125</xdr:rowOff>
    </xdr:from>
    <xdr:to>
      <xdr:col>7</xdr:col>
      <xdr:colOff>1009650</xdr:colOff>
      <xdr:row>5</xdr:row>
      <xdr:rowOff>301625</xdr:rowOff>
    </xdr:to>
    <xdr:sp macro="SetRing" textlink="">
      <xdr:nvSpPr>
        <xdr:cNvPr id="112691" name="DalekRing03">
          <a:extLst>
            <a:ext uri="{FF2B5EF4-FFF2-40B4-BE49-F238E27FC236}">
              <a16:creationId xmlns:a16="http://schemas.microsoft.com/office/drawing/2014/main" id="{B55A7628-F385-4402-9A9B-0D462CD145BB}"/>
            </a:ext>
          </a:extLst>
        </xdr:cNvPr>
        <xdr:cNvSpPr/>
      </xdr:nvSpPr>
      <xdr:spPr>
        <a:xfrm>
          <a:off x="784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1123950</xdr:colOff>
      <xdr:row>5</xdr:row>
      <xdr:rowOff>111125</xdr:rowOff>
    </xdr:from>
    <xdr:to>
      <xdr:col>7</xdr:col>
      <xdr:colOff>1314450</xdr:colOff>
      <xdr:row>5</xdr:row>
      <xdr:rowOff>301625</xdr:rowOff>
    </xdr:to>
    <xdr:sp macro="SetRing" textlink="">
      <xdr:nvSpPr>
        <xdr:cNvPr id="112692" name="DalekRing04">
          <a:extLst>
            <a:ext uri="{FF2B5EF4-FFF2-40B4-BE49-F238E27FC236}">
              <a16:creationId xmlns:a16="http://schemas.microsoft.com/office/drawing/2014/main" id="{F2E4F0F1-4507-46B7-892B-0FE807C921E3}"/>
            </a:ext>
          </a:extLst>
        </xdr:cNvPr>
        <xdr:cNvSpPr/>
      </xdr:nvSpPr>
      <xdr:spPr>
        <a:xfrm>
          <a:off x="815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1454150</xdr:colOff>
      <xdr:row>5</xdr:row>
      <xdr:rowOff>111125</xdr:rowOff>
    </xdr:from>
    <xdr:to>
      <xdr:col>7</xdr:col>
      <xdr:colOff>1644650</xdr:colOff>
      <xdr:row>5</xdr:row>
      <xdr:rowOff>301625</xdr:rowOff>
    </xdr:to>
    <xdr:sp macro="SetRing" textlink="">
      <xdr:nvSpPr>
        <xdr:cNvPr id="112693" name="DalekRing05">
          <a:extLst>
            <a:ext uri="{FF2B5EF4-FFF2-40B4-BE49-F238E27FC236}">
              <a16:creationId xmlns:a16="http://schemas.microsoft.com/office/drawing/2014/main" id="{FFBC630A-84CA-4018-BCCE-1524900A5F0C}"/>
            </a:ext>
          </a:extLst>
        </xdr:cNvPr>
        <xdr:cNvSpPr/>
      </xdr:nvSpPr>
      <xdr:spPr>
        <a:xfrm>
          <a:off x="848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1758950</xdr:colOff>
      <xdr:row>5</xdr:row>
      <xdr:rowOff>111125</xdr:rowOff>
    </xdr:from>
    <xdr:to>
      <xdr:col>7</xdr:col>
      <xdr:colOff>1949450</xdr:colOff>
      <xdr:row>5</xdr:row>
      <xdr:rowOff>301625</xdr:rowOff>
    </xdr:to>
    <xdr:sp macro="SetRing" textlink="">
      <xdr:nvSpPr>
        <xdr:cNvPr id="112694" name="DalekRing06">
          <a:extLst>
            <a:ext uri="{FF2B5EF4-FFF2-40B4-BE49-F238E27FC236}">
              <a16:creationId xmlns:a16="http://schemas.microsoft.com/office/drawing/2014/main" id="{19FB2489-7DC2-461F-BFF1-DB68A18A3AB1}"/>
            </a:ext>
          </a:extLst>
        </xdr:cNvPr>
        <xdr:cNvSpPr/>
      </xdr:nvSpPr>
      <xdr:spPr>
        <a:xfrm>
          <a:off x="878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117475</xdr:colOff>
      <xdr:row>5</xdr:row>
      <xdr:rowOff>111125</xdr:rowOff>
    </xdr:from>
    <xdr:to>
      <xdr:col>8</xdr:col>
      <xdr:colOff>307975</xdr:colOff>
      <xdr:row>5</xdr:row>
      <xdr:rowOff>301625</xdr:rowOff>
    </xdr:to>
    <xdr:sp macro="SetRing" textlink="">
      <xdr:nvSpPr>
        <xdr:cNvPr id="112695" name="DalekRing07">
          <a:extLst>
            <a:ext uri="{FF2B5EF4-FFF2-40B4-BE49-F238E27FC236}">
              <a16:creationId xmlns:a16="http://schemas.microsoft.com/office/drawing/2014/main" id="{597EE9C9-A591-41E4-87B9-BA4DBC0D31BA}"/>
            </a:ext>
          </a:extLst>
        </xdr:cNvPr>
        <xdr:cNvSpPr/>
      </xdr:nvSpPr>
      <xdr:spPr>
        <a:xfrm>
          <a:off x="911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422275</xdr:colOff>
      <xdr:row>5</xdr:row>
      <xdr:rowOff>111125</xdr:rowOff>
    </xdr:from>
    <xdr:to>
      <xdr:col>8</xdr:col>
      <xdr:colOff>612775</xdr:colOff>
      <xdr:row>5</xdr:row>
      <xdr:rowOff>301625</xdr:rowOff>
    </xdr:to>
    <xdr:sp macro="SetRing" textlink="">
      <xdr:nvSpPr>
        <xdr:cNvPr id="112696" name="DalekRing08">
          <a:extLst>
            <a:ext uri="{FF2B5EF4-FFF2-40B4-BE49-F238E27FC236}">
              <a16:creationId xmlns:a16="http://schemas.microsoft.com/office/drawing/2014/main" id="{B954DAF5-F027-4FF4-B0F2-19E0FA0D6B8C}"/>
            </a:ext>
          </a:extLst>
        </xdr:cNvPr>
        <xdr:cNvSpPr/>
      </xdr:nvSpPr>
      <xdr:spPr>
        <a:xfrm>
          <a:off x="942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752475</xdr:colOff>
      <xdr:row>5</xdr:row>
      <xdr:rowOff>111125</xdr:rowOff>
    </xdr:from>
    <xdr:to>
      <xdr:col>8</xdr:col>
      <xdr:colOff>942975</xdr:colOff>
      <xdr:row>5</xdr:row>
      <xdr:rowOff>301625</xdr:rowOff>
    </xdr:to>
    <xdr:sp macro="SetRing" textlink="">
      <xdr:nvSpPr>
        <xdr:cNvPr id="112697" name="DalekRing09">
          <a:extLst>
            <a:ext uri="{FF2B5EF4-FFF2-40B4-BE49-F238E27FC236}">
              <a16:creationId xmlns:a16="http://schemas.microsoft.com/office/drawing/2014/main" id="{C5969B53-32F5-4644-AA52-7A5D2DACC941}"/>
            </a:ext>
          </a:extLst>
        </xdr:cNvPr>
        <xdr:cNvSpPr/>
      </xdr:nvSpPr>
      <xdr:spPr>
        <a:xfrm>
          <a:off x="975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1057275</xdr:colOff>
      <xdr:row>5</xdr:row>
      <xdr:rowOff>111125</xdr:rowOff>
    </xdr:from>
    <xdr:to>
      <xdr:col>8</xdr:col>
      <xdr:colOff>1247775</xdr:colOff>
      <xdr:row>5</xdr:row>
      <xdr:rowOff>301625</xdr:rowOff>
    </xdr:to>
    <xdr:sp macro="SetRing" textlink="">
      <xdr:nvSpPr>
        <xdr:cNvPr id="112698" name="DalekRing10">
          <a:extLst>
            <a:ext uri="{FF2B5EF4-FFF2-40B4-BE49-F238E27FC236}">
              <a16:creationId xmlns:a16="http://schemas.microsoft.com/office/drawing/2014/main" id="{85EB6F1F-5AD8-44C1-83B0-00A1E64A9E49}"/>
            </a:ext>
          </a:extLst>
        </xdr:cNvPr>
        <xdr:cNvSpPr/>
      </xdr:nvSpPr>
      <xdr:spPr>
        <a:xfrm>
          <a:off x="1005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1387475</xdr:colOff>
      <xdr:row>5</xdr:row>
      <xdr:rowOff>111125</xdr:rowOff>
    </xdr:from>
    <xdr:to>
      <xdr:col>8</xdr:col>
      <xdr:colOff>1577975</xdr:colOff>
      <xdr:row>5</xdr:row>
      <xdr:rowOff>301625</xdr:rowOff>
    </xdr:to>
    <xdr:sp macro="SetRing" textlink="">
      <xdr:nvSpPr>
        <xdr:cNvPr id="112699" name="DalekRing11">
          <a:extLst>
            <a:ext uri="{FF2B5EF4-FFF2-40B4-BE49-F238E27FC236}">
              <a16:creationId xmlns:a16="http://schemas.microsoft.com/office/drawing/2014/main" id="{5648452C-2C83-47CD-AE9C-963E1BFAB6D1}"/>
            </a:ext>
          </a:extLst>
        </xdr:cNvPr>
        <xdr:cNvSpPr/>
      </xdr:nvSpPr>
      <xdr:spPr>
        <a:xfrm>
          <a:off x="1038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34925</xdr:colOff>
      <xdr:row>5</xdr:row>
      <xdr:rowOff>111125</xdr:rowOff>
    </xdr:from>
    <xdr:to>
      <xdr:col>9</xdr:col>
      <xdr:colOff>225425</xdr:colOff>
      <xdr:row>5</xdr:row>
      <xdr:rowOff>301625</xdr:rowOff>
    </xdr:to>
    <xdr:sp macro="SetRing" textlink="">
      <xdr:nvSpPr>
        <xdr:cNvPr id="112700" name="DalekRing12">
          <a:extLst>
            <a:ext uri="{FF2B5EF4-FFF2-40B4-BE49-F238E27FC236}">
              <a16:creationId xmlns:a16="http://schemas.microsoft.com/office/drawing/2014/main" id="{3E07EDE6-0156-4CE5-B2D3-EFB21153D97C}"/>
            </a:ext>
          </a:extLst>
        </xdr:cNvPr>
        <xdr:cNvSpPr/>
      </xdr:nvSpPr>
      <xdr:spPr>
        <a:xfrm>
          <a:off x="1069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1066800</xdr:colOff>
      <xdr:row>5</xdr:row>
      <xdr:rowOff>111125</xdr:rowOff>
    </xdr:from>
    <xdr:to>
      <xdr:col>2</xdr:col>
      <xdr:colOff>104775</xdr:colOff>
      <xdr:row>5</xdr:row>
      <xdr:rowOff>301625</xdr:rowOff>
    </xdr:to>
    <xdr:sp macro="SetRing" textlink="">
      <xdr:nvSpPr>
        <xdr:cNvPr id="112701" name="DalekRing13">
          <a:extLst>
            <a:ext uri="{FF2B5EF4-FFF2-40B4-BE49-F238E27FC236}">
              <a16:creationId xmlns:a16="http://schemas.microsoft.com/office/drawing/2014/main" id="{BEE7324F-8079-4BF5-8612-A4B69EFD98B0}"/>
            </a:ext>
          </a:extLst>
        </xdr:cNvPr>
        <xdr:cNvSpPr/>
      </xdr:nvSpPr>
      <xdr:spPr>
        <a:xfrm>
          <a:off x="175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219075</xdr:colOff>
      <xdr:row>5</xdr:row>
      <xdr:rowOff>111125</xdr:rowOff>
    </xdr:from>
    <xdr:to>
      <xdr:col>2</xdr:col>
      <xdr:colOff>409575</xdr:colOff>
      <xdr:row>5</xdr:row>
      <xdr:rowOff>301625</xdr:rowOff>
    </xdr:to>
    <xdr:sp macro="SetRing" textlink="">
      <xdr:nvSpPr>
        <xdr:cNvPr id="112702" name="DalekRing14">
          <a:extLst>
            <a:ext uri="{FF2B5EF4-FFF2-40B4-BE49-F238E27FC236}">
              <a16:creationId xmlns:a16="http://schemas.microsoft.com/office/drawing/2014/main" id="{A2272F13-8ED3-4626-94C4-A8D30437A61C}"/>
            </a:ext>
          </a:extLst>
        </xdr:cNvPr>
        <xdr:cNvSpPr/>
      </xdr:nvSpPr>
      <xdr:spPr>
        <a:xfrm>
          <a:off x="205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549275</xdr:colOff>
      <xdr:row>5</xdr:row>
      <xdr:rowOff>111125</xdr:rowOff>
    </xdr:from>
    <xdr:to>
      <xdr:col>2</xdr:col>
      <xdr:colOff>739775</xdr:colOff>
      <xdr:row>5</xdr:row>
      <xdr:rowOff>301625</xdr:rowOff>
    </xdr:to>
    <xdr:sp macro="SetRing" textlink="">
      <xdr:nvSpPr>
        <xdr:cNvPr id="112703" name="DalekRing15">
          <a:extLst>
            <a:ext uri="{FF2B5EF4-FFF2-40B4-BE49-F238E27FC236}">
              <a16:creationId xmlns:a16="http://schemas.microsoft.com/office/drawing/2014/main" id="{0CDA6B42-D6C3-4A0D-A6A7-F6B76132714E}"/>
            </a:ext>
          </a:extLst>
        </xdr:cNvPr>
        <xdr:cNvSpPr/>
      </xdr:nvSpPr>
      <xdr:spPr>
        <a:xfrm>
          <a:off x="238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854075</xdr:colOff>
      <xdr:row>5</xdr:row>
      <xdr:rowOff>111125</xdr:rowOff>
    </xdr:from>
    <xdr:to>
      <xdr:col>2</xdr:col>
      <xdr:colOff>1044575</xdr:colOff>
      <xdr:row>5</xdr:row>
      <xdr:rowOff>301625</xdr:rowOff>
    </xdr:to>
    <xdr:sp macro="SetRing" textlink="">
      <xdr:nvSpPr>
        <xdr:cNvPr id="113248" name="DalekRing16">
          <a:extLst>
            <a:ext uri="{FF2B5EF4-FFF2-40B4-BE49-F238E27FC236}">
              <a16:creationId xmlns:a16="http://schemas.microsoft.com/office/drawing/2014/main" id="{637D01DF-40B2-4419-874C-589E8D0EF0A0}"/>
            </a:ext>
          </a:extLst>
        </xdr:cNvPr>
        <xdr:cNvSpPr/>
      </xdr:nvSpPr>
      <xdr:spPr>
        <a:xfrm>
          <a:off x="269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1184275</xdr:colOff>
      <xdr:row>5</xdr:row>
      <xdr:rowOff>111125</xdr:rowOff>
    </xdr:from>
    <xdr:to>
      <xdr:col>2</xdr:col>
      <xdr:colOff>1374775</xdr:colOff>
      <xdr:row>5</xdr:row>
      <xdr:rowOff>301625</xdr:rowOff>
    </xdr:to>
    <xdr:sp macro="SetRing" textlink="">
      <xdr:nvSpPr>
        <xdr:cNvPr id="113249" name="DalekRing17">
          <a:extLst>
            <a:ext uri="{FF2B5EF4-FFF2-40B4-BE49-F238E27FC236}">
              <a16:creationId xmlns:a16="http://schemas.microsoft.com/office/drawing/2014/main" id="{97B540FF-C1F4-4230-8B0A-D65630639631}"/>
            </a:ext>
          </a:extLst>
        </xdr:cNvPr>
        <xdr:cNvSpPr/>
      </xdr:nvSpPr>
      <xdr:spPr>
        <a:xfrm>
          <a:off x="302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69850</xdr:colOff>
      <xdr:row>5</xdr:row>
      <xdr:rowOff>111125</xdr:rowOff>
    </xdr:from>
    <xdr:to>
      <xdr:col>3</xdr:col>
      <xdr:colOff>260350</xdr:colOff>
      <xdr:row>5</xdr:row>
      <xdr:rowOff>301625</xdr:rowOff>
    </xdr:to>
    <xdr:sp macro="SetRing" textlink="">
      <xdr:nvSpPr>
        <xdr:cNvPr id="113250" name="DalekRing18">
          <a:extLst>
            <a:ext uri="{FF2B5EF4-FFF2-40B4-BE49-F238E27FC236}">
              <a16:creationId xmlns:a16="http://schemas.microsoft.com/office/drawing/2014/main" id="{4F36E625-6797-4709-B3B8-24F0D65BA968}"/>
            </a:ext>
          </a:extLst>
        </xdr:cNvPr>
        <xdr:cNvSpPr/>
      </xdr:nvSpPr>
      <xdr:spPr>
        <a:xfrm>
          <a:off x="332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400050</xdr:colOff>
      <xdr:row>5</xdr:row>
      <xdr:rowOff>111125</xdr:rowOff>
    </xdr:from>
    <xdr:to>
      <xdr:col>4</xdr:col>
      <xdr:colOff>161925</xdr:colOff>
      <xdr:row>5</xdr:row>
      <xdr:rowOff>301625</xdr:rowOff>
    </xdr:to>
    <xdr:sp macro="SetRing" textlink="">
      <xdr:nvSpPr>
        <xdr:cNvPr id="113251" name="DalekRing19">
          <a:extLst>
            <a:ext uri="{FF2B5EF4-FFF2-40B4-BE49-F238E27FC236}">
              <a16:creationId xmlns:a16="http://schemas.microsoft.com/office/drawing/2014/main" id="{395513BC-737E-4369-BF30-67BEEDCB0836}"/>
            </a:ext>
          </a:extLst>
        </xdr:cNvPr>
        <xdr:cNvSpPr/>
      </xdr:nvSpPr>
      <xdr:spPr>
        <a:xfrm>
          <a:off x="365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276225</xdr:colOff>
      <xdr:row>5</xdr:row>
      <xdr:rowOff>111125</xdr:rowOff>
    </xdr:from>
    <xdr:to>
      <xdr:col>4</xdr:col>
      <xdr:colOff>466725</xdr:colOff>
      <xdr:row>5</xdr:row>
      <xdr:rowOff>301625</xdr:rowOff>
    </xdr:to>
    <xdr:sp macro="SetRing" textlink="">
      <xdr:nvSpPr>
        <xdr:cNvPr id="113252" name="DalekRing20">
          <a:extLst>
            <a:ext uri="{FF2B5EF4-FFF2-40B4-BE49-F238E27FC236}">
              <a16:creationId xmlns:a16="http://schemas.microsoft.com/office/drawing/2014/main" id="{3A2EBE42-C158-4365-9E99-8922CD19DCB8}"/>
            </a:ext>
          </a:extLst>
        </xdr:cNvPr>
        <xdr:cNvSpPr/>
      </xdr:nvSpPr>
      <xdr:spPr>
        <a:xfrm>
          <a:off x="396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606425</xdr:colOff>
      <xdr:row>5</xdr:row>
      <xdr:rowOff>111125</xdr:rowOff>
    </xdr:from>
    <xdr:to>
      <xdr:col>5</xdr:col>
      <xdr:colOff>111125</xdr:colOff>
      <xdr:row>5</xdr:row>
      <xdr:rowOff>301625</xdr:rowOff>
    </xdr:to>
    <xdr:sp macro="SetRing" textlink="">
      <xdr:nvSpPr>
        <xdr:cNvPr id="113253" name="DalekRing21">
          <a:extLst>
            <a:ext uri="{FF2B5EF4-FFF2-40B4-BE49-F238E27FC236}">
              <a16:creationId xmlns:a16="http://schemas.microsoft.com/office/drawing/2014/main" id="{60E109B6-A548-492C-B30C-7A76424A3893}"/>
            </a:ext>
          </a:extLst>
        </xdr:cNvPr>
        <xdr:cNvSpPr/>
      </xdr:nvSpPr>
      <xdr:spPr>
        <a:xfrm>
          <a:off x="429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225425</xdr:colOff>
      <xdr:row>5</xdr:row>
      <xdr:rowOff>111125</xdr:rowOff>
    </xdr:from>
    <xdr:to>
      <xdr:col>5</xdr:col>
      <xdr:colOff>415925</xdr:colOff>
      <xdr:row>5</xdr:row>
      <xdr:rowOff>301625</xdr:rowOff>
    </xdr:to>
    <xdr:sp macro="SetRing" textlink="">
      <xdr:nvSpPr>
        <xdr:cNvPr id="113254" name="DalekRing22">
          <a:extLst>
            <a:ext uri="{FF2B5EF4-FFF2-40B4-BE49-F238E27FC236}">
              <a16:creationId xmlns:a16="http://schemas.microsoft.com/office/drawing/2014/main" id="{6565A48E-21D1-4770-8F2B-A28CE92CF560}"/>
            </a:ext>
          </a:extLst>
        </xdr:cNvPr>
        <xdr:cNvSpPr/>
      </xdr:nvSpPr>
      <xdr:spPr>
        <a:xfrm>
          <a:off x="459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555625</xdr:colOff>
      <xdr:row>5</xdr:row>
      <xdr:rowOff>111125</xdr:rowOff>
    </xdr:from>
    <xdr:to>
      <xdr:col>5</xdr:col>
      <xdr:colOff>746125</xdr:colOff>
      <xdr:row>5</xdr:row>
      <xdr:rowOff>301625</xdr:rowOff>
    </xdr:to>
    <xdr:sp macro="SetRing" textlink="">
      <xdr:nvSpPr>
        <xdr:cNvPr id="113255" name="DalekRing23">
          <a:extLst>
            <a:ext uri="{FF2B5EF4-FFF2-40B4-BE49-F238E27FC236}">
              <a16:creationId xmlns:a16="http://schemas.microsoft.com/office/drawing/2014/main" id="{5B62A45C-D04F-48BF-B08B-3F4B4EDEC696}"/>
            </a:ext>
          </a:extLst>
        </xdr:cNvPr>
        <xdr:cNvSpPr/>
      </xdr:nvSpPr>
      <xdr:spPr>
        <a:xfrm>
          <a:off x="492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860425</xdr:colOff>
      <xdr:row>5</xdr:row>
      <xdr:rowOff>111125</xdr:rowOff>
    </xdr:from>
    <xdr:to>
      <xdr:col>5</xdr:col>
      <xdr:colOff>1050925</xdr:colOff>
      <xdr:row>5</xdr:row>
      <xdr:rowOff>301625</xdr:rowOff>
    </xdr:to>
    <xdr:sp macro="SetRing" textlink="">
      <xdr:nvSpPr>
        <xdr:cNvPr id="113256" name="DalekRing24">
          <a:extLst>
            <a:ext uri="{FF2B5EF4-FFF2-40B4-BE49-F238E27FC236}">
              <a16:creationId xmlns:a16="http://schemas.microsoft.com/office/drawing/2014/main" id="{AB70D621-34FE-4A2A-8FFD-DA3ACE01BFE6}"/>
            </a:ext>
          </a:extLst>
        </xdr:cNvPr>
        <xdr:cNvSpPr/>
      </xdr:nvSpPr>
      <xdr:spPr>
        <a:xfrm>
          <a:off x="523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901700</xdr:colOff>
      <xdr:row>1</xdr:row>
      <xdr:rowOff>114300</xdr:rowOff>
    </xdr:from>
    <xdr:to>
      <xdr:col>1</xdr:col>
      <xdr:colOff>1092200</xdr:colOff>
      <xdr:row>1</xdr:row>
      <xdr:rowOff>304800</xdr:rowOff>
    </xdr:to>
    <xdr:sp macro="SetFillRing" textlink="">
      <xdr:nvSpPr>
        <xdr:cNvPr id="113257" name="DalekFillRing0">
          <a:extLst>
            <a:ext uri="{FF2B5EF4-FFF2-40B4-BE49-F238E27FC236}">
              <a16:creationId xmlns:a16="http://schemas.microsoft.com/office/drawing/2014/main" id="{3D1F79BC-974A-451F-A0FA-08CE8F2EB0C5}"/>
            </a:ext>
          </a:extLst>
        </xdr:cNvPr>
        <xdr:cNvSpPr/>
      </xdr:nvSpPr>
      <xdr:spPr>
        <a:xfrm>
          <a:off x="1587500" y="381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66675</xdr:colOff>
      <xdr:row>1</xdr:row>
      <xdr:rowOff>114300</xdr:rowOff>
    </xdr:from>
    <xdr:to>
      <xdr:col>2</xdr:col>
      <xdr:colOff>257175</xdr:colOff>
      <xdr:row>1</xdr:row>
      <xdr:rowOff>304800</xdr:rowOff>
    </xdr:to>
    <xdr:sp macro="SetFillRing" textlink="">
      <xdr:nvSpPr>
        <xdr:cNvPr id="113258" name="DalekFillRing1">
          <a:extLst>
            <a:ext uri="{FF2B5EF4-FFF2-40B4-BE49-F238E27FC236}">
              <a16:creationId xmlns:a16="http://schemas.microsoft.com/office/drawing/2014/main" id="{DF445BE7-78E1-4D4F-B5FB-47A3744404E7}"/>
            </a:ext>
          </a:extLst>
        </xdr:cNvPr>
        <xdr:cNvSpPr/>
      </xdr:nvSpPr>
      <xdr:spPr>
        <a:xfrm>
          <a:off x="1905000" y="381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384175</xdr:colOff>
      <xdr:row>1</xdr:row>
      <xdr:rowOff>114300</xdr:rowOff>
    </xdr:from>
    <xdr:to>
      <xdr:col>2</xdr:col>
      <xdr:colOff>574675</xdr:colOff>
      <xdr:row>1</xdr:row>
      <xdr:rowOff>304800</xdr:rowOff>
    </xdr:to>
    <xdr:sp macro="SetFillRing" textlink="">
      <xdr:nvSpPr>
        <xdr:cNvPr id="113259" name="DalekFillRing2">
          <a:extLst>
            <a:ext uri="{FF2B5EF4-FFF2-40B4-BE49-F238E27FC236}">
              <a16:creationId xmlns:a16="http://schemas.microsoft.com/office/drawing/2014/main" id="{3BA927E9-1D16-4591-B51A-EF29527C6597}"/>
            </a:ext>
          </a:extLst>
        </xdr:cNvPr>
        <xdr:cNvSpPr/>
      </xdr:nvSpPr>
      <xdr:spPr>
        <a:xfrm>
          <a:off x="2222500" y="381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701675</xdr:colOff>
      <xdr:row>1</xdr:row>
      <xdr:rowOff>114300</xdr:rowOff>
    </xdr:from>
    <xdr:to>
      <xdr:col>2</xdr:col>
      <xdr:colOff>892175</xdr:colOff>
      <xdr:row>1</xdr:row>
      <xdr:rowOff>304800</xdr:rowOff>
    </xdr:to>
    <xdr:sp macro="SetFillRing" textlink="">
      <xdr:nvSpPr>
        <xdr:cNvPr id="113260" name="DalekFillRing3">
          <a:extLst>
            <a:ext uri="{FF2B5EF4-FFF2-40B4-BE49-F238E27FC236}">
              <a16:creationId xmlns:a16="http://schemas.microsoft.com/office/drawing/2014/main" id="{B36E25B9-EC11-4B1C-BA09-A013A06B5F93}"/>
            </a:ext>
          </a:extLst>
        </xdr:cNvPr>
        <xdr:cNvSpPr/>
      </xdr:nvSpPr>
      <xdr:spPr>
        <a:xfrm>
          <a:off x="2540000" y="381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1019175</xdr:colOff>
      <xdr:row>1</xdr:row>
      <xdr:rowOff>114300</xdr:rowOff>
    </xdr:from>
    <xdr:to>
      <xdr:col>2</xdr:col>
      <xdr:colOff>1209675</xdr:colOff>
      <xdr:row>1</xdr:row>
      <xdr:rowOff>304800</xdr:rowOff>
    </xdr:to>
    <xdr:sp macro="SetFillRing" textlink="">
      <xdr:nvSpPr>
        <xdr:cNvPr id="113261" name="DalekFillRing4">
          <a:extLst>
            <a:ext uri="{FF2B5EF4-FFF2-40B4-BE49-F238E27FC236}">
              <a16:creationId xmlns:a16="http://schemas.microsoft.com/office/drawing/2014/main" id="{6100102D-C1AA-428C-9A66-DBBD8B6C7BEF}"/>
            </a:ext>
          </a:extLst>
        </xdr:cNvPr>
        <xdr:cNvSpPr/>
      </xdr:nvSpPr>
      <xdr:spPr>
        <a:xfrm>
          <a:off x="2857500" y="381000"/>
          <a:ext cx="190500" cy="190500"/>
        </a:xfrm>
        <a:prstGeom prst="ellipse">
          <a:avLst/>
        </a:prstGeom>
        <a:pattFill prst="pct25">
          <a:fgClr>
            <a:srgbClr val="FF00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1336675</xdr:colOff>
      <xdr:row>1</xdr:row>
      <xdr:rowOff>114300</xdr:rowOff>
    </xdr:from>
    <xdr:to>
      <xdr:col>3</xdr:col>
      <xdr:colOff>107950</xdr:colOff>
      <xdr:row>1</xdr:row>
      <xdr:rowOff>304800</xdr:rowOff>
    </xdr:to>
    <xdr:sp macro="SetFillRing" textlink="">
      <xdr:nvSpPr>
        <xdr:cNvPr id="113262" name="DalekFillRing5">
          <a:extLst>
            <a:ext uri="{FF2B5EF4-FFF2-40B4-BE49-F238E27FC236}">
              <a16:creationId xmlns:a16="http://schemas.microsoft.com/office/drawing/2014/main" id="{D061F62E-2846-400D-AD78-D535034A054C}"/>
            </a:ext>
          </a:extLst>
        </xdr:cNvPr>
        <xdr:cNvSpPr/>
      </xdr:nvSpPr>
      <xdr:spPr>
        <a:xfrm>
          <a:off x="3175000" y="381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234950</xdr:colOff>
      <xdr:row>1</xdr:row>
      <xdr:rowOff>114300</xdr:rowOff>
    </xdr:from>
    <xdr:to>
      <xdr:col>3</xdr:col>
      <xdr:colOff>425450</xdr:colOff>
      <xdr:row>1</xdr:row>
      <xdr:rowOff>304800</xdr:rowOff>
    </xdr:to>
    <xdr:sp macro="SetFillRing" textlink="">
      <xdr:nvSpPr>
        <xdr:cNvPr id="113263" name="DalekFillRing6">
          <a:extLst>
            <a:ext uri="{FF2B5EF4-FFF2-40B4-BE49-F238E27FC236}">
              <a16:creationId xmlns:a16="http://schemas.microsoft.com/office/drawing/2014/main" id="{A48C2490-2322-4E26-80B8-F3C20DB3F90A}"/>
            </a:ext>
          </a:extLst>
        </xdr:cNvPr>
        <xdr:cNvSpPr/>
      </xdr:nvSpPr>
      <xdr:spPr>
        <a:xfrm>
          <a:off x="3492500" y="381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123825</xdr:colOff>
      <xdr:row>1</xdr:row>
      <xdr:rowOff>114300</xdr:rowOff>
    </xdr:from>
    <xdr:to>
      <xdr:col>4</xdr:col>
      <xdr:colOff>314325</xdr:colOff>
      <xdr:row>1</xdr:row>
      <xdr:rowOff>304800</xdr:rowOff>
    </xdr:to>
    <xdr:sp macro="SetFillRing" textlink="">
      <xdr:nvSpPr>
        <xdr:cNvPr id="113264" name="DalekFillRing7">
          <a:extLst>
            <a:ext uri="{FF2B5EF4-FFF2-40B4-BE49-F238E27FC236}">
              <a16:creationId xmlns:a16="http://schemas.microsoft.com/office/drawing/2014/main" id="{1B10B5CB-D8AC-4C61-ABB9-5FEB59545825}"/>
            </a:ext>
          </a:extLst>
        </xdr:cNvPr>
        <xdr:cNvSpPr/>
      </xdr:nvSpPr>
      <xdr:spPr>
        <a:xfrm>
          <a:off x="3810000" y="381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466725</xdr:colOff>
      <xdr:row>4</xdr:row>
      <xdr:rowOff>196850</xdr:rowOff>
    </xdr:from>
    <xdr:to>
      <xdr:col>6</xdr:col>
      <xdr:colOff>1038225</xdr:colOff>
      <xdr:row>5</xdr:row>
      <xdr:rowOff>301625</xdr:rowOff>
    </xdr:to>
    <xdr:sp macro="SetEyeRing" textlink="">
      <xdr:nvSpPr>
        <xdr:cNvPr id="113265" name="DalekEyeNoseRing1">
          <a:extLst>
            <a:ext uri="{FF2B5EF4-FFF2-40B4-BE49-F238E27FC236}">
              <a16:creationId xmlns:a16="http://schemas.microsoft.com/office/drawing/2014/main" id="{E390DF2F-6BC6-4C85-8C8A-A065C27E1B7E}"/>
            </a:ext>
          </a:extLst>
        </xdr:cNvPr>
        <xdr:cNvSpPr/>
      </xdr:nvSpPr>
      <xdr:spPr>
        <a:xfrm>
          <a:off x="6096000" y="1778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898525</xdr:colOff>
      <xdr:row>2</xdr:row>
      <xdr:rowOff>311150</xdr:rowOff>
    </xdr:from>
    <xdr:to>
      <xdr:col>6</xdr:col>
      <xdr:colOff>212725</xdr:colOff>
      <xdr:row>4</xdr:row>
      <xdr:rowOff>6350</xdr:rowOff>
    </xdr:to>
    <xdr:sp macro="SetEyeRing" textlink="">
      <xdr:nvSpPr>
        <xdr:cNvPr id="113266" name="DalekEyeNoseRing2">
          <a:extLst>
            <a:ext uri="{FF2B5EF4-FFF2-40B4-BE49-F238E27FC236}">
              <a16:creationId xmlns:a16="http://schemas.microsoft.com/office/drawing/2014/main" id="{EAB4288E-80A5-4B81-B741-D0708005A6F8}"/>
            </a:ext>
          </a:extLst>
        </xdr:cNvPr>
        <xdr:cNvSpPr/>
      </xdr:nvSpPr>
      <xdr:spPr>
        <a:xfrm>
          <a:off x="5270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1292225</xdr:colOff>
      <xdr:row>2</xdr:row>
      <xdr:rowOff>311150</xdr:rowOff>
    </xdr:from>
    <xdr:to>
      <xdr:col>7</xdr:col>
      <xdr:colOff>463550</xdr:colOff>
      <xdr:row>4</xdr:row>
      <xdr:rowOff>6350</xdr:rowOff>
    </xdr:to>
    <xdr:sp macro="SetEyeRing" textlink="">
      <xdr:nvSpPr>
        <xdr:cNvPr id="113267" name="DalekEyeNoseRing3">
          <a:extLst>
            <a:ext uri="{FF2B5EF4-FFF2-40B4-BE49-F238E27FC236}">
              <a16:creationId xmlns:a16="http://schemas.microsoft.com/office/drawing/2014/main" id="{92275253-9A07-4799-86B6-06E75DD810E1}"/>
            </a:ext>
          </a:extLst>
        </xdr:cNvPr>
        <xdr:cNvSpPr/>
      </xdr:nvSpPr>
      <xdr:spPr>
        <a:xfrm>
          <a:off x="6921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19050</xdr:rowOff>
        </xdr:from>
        <xdr:to>
          <xdr:col>5</xdr:col>
          <xdr:colOff>85725</xdr:colOff>
          <xdr:row>8</xdr:row>
          <xdr:rowOff>257175</xdr:rowOff>
        </xdr:to>
        <xdr:sp macro="" textlink="">
          <xdr:nvSpPr>
            <xdr:cNvPr id="107527" name="cmbMovement" hidden="1">
              <a:extLst>
                <a:ext uri="{63B3BB69-23CF-44E3-9099-C40C66FF867C}">
                  <a14:compatExt spid="_x0000_s107527"/>
                </a:ext>
                <a:ext uri="{FF2B5EF4-FFF2-40B4-BE49-F238E27FC236}">
                  <a16:creationId xmlns:a16="http://schemas.microsoft.com/office/drawing/2014/main" id="{00000000-0008-0000-0200-000007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16</xdr:row>
          <xdr:rowOff>47625</xdr:rowOff>
        </xdr:from>
        <xdr:to>
          <xdr:col>5</xdr:col>
          <xdr:colOff>142875</xdr:colOff>
          <xdr:row>17</xdr:row>
          <xdr:rowOff>0</xdr:rowOff>
        </xdr:to>
        <xdr:sp macro="" textlink="">
          <xdr:nvSpPr>
            <xdr:cNvPr id="107528" name="cmbShape" hidden="1">
              <a:extLst>
                <a:ext uri="{63B3BB69-23CF-44E3-9099-C40C66FF867C}">
                  <a14:compatExt spid="_x0000_s107528"/>
                </a:ext>
                <a:ext uri="{FF2B5EF4-FFF2-40B4-BE49-F238E27FC236}">
                  <a16:creationId xmlns:a16="http://schemas.microsoft.com/office/drawing/2014/main" id="{00000000-0008-0000-0200-000008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9525</xdr:rowOff>
        </xdr:from>
        <xdr:to>
          <xdr:col>5</xdr:col>
          <xdr:colOff>409575</xdr:colOff>
          <xdr:row>22</xdr:row>
          <xdr:rowOff>247650</xdr:rowOff>
        </xdr:to>
        <xdr:sp macro="" textlink="">
          <xdr:nvSpPr>
            <xdr:cNvPr id="107529" name="cmbInvert" hidden="1">
              <a:extLst>
                <a:ext uri="{63B3BB69-23CF-44E3-9099-C40C66FF867C}">
                  <a14:compatExt spid="_x0000_s107529"/>
                </a:ext>
                <a:ext uri="{FF2B5EF4-FFF2-40B4-BE49-F238E27FC236}">
                  <a16:creationId xmlns:a16="http://schemas.microsoft.com/office/drawing/2014/main" id="{00000000-0008-0000-0200-000009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25</xdr:row>
          <xdr:rowOff>38100</xdr:rowOff>
        </xdr:from>
        <xdr:to>
          <xdr:col>5</xdr:col>
          <xdr:colOff>438150</xdr:colOff>
          <xdr:row>25</xdr:row>
          <xdr:rowOff>276225</xdr:rowOff>
        </xdr:to>
        <xdr:sp macro="" textlink="">
          <xdr:nvSpPr>
            <xdr:cNvPr id="107530" name="cmbLHres" hidden="1">
              <a:extLst>
                <a:ext uri="{63B3BB69-23CF-44E3-9099-C40C66FF867C}">
                  <a14:compatExt spid="_x0000_s107530"/>
                </a:ext>
                <a:ext uri="{FF2B5EF4-FFF2-40B4-BE49-F238E27FC236}">
                  <a16:creationId xmlns:a16="http://schemas.microsoft.com/office/drawing/2014/main" id="{00000000-0008-0000-0200-00000A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0:F47" totalsRowShown="0" headerRowDxfId="27" dataDxfId="26">
  <autoFilter ref="A40:F47" xr:uid="{00000000-0009-0000-0100-000001000000}"/>
  <tableColumns count="6">
    <tableColumn id="1" xr3:uid="{00000000-0010-0000-0000-000001000000}" name="Behaviour of text in various situations per buffer" dataDxfId="25"/>
    <tableColumn id="4" xr3:uid="{00000000-0010-0000-0000-000004000000}" name="(1) Static" dataDxfId="24"/>
    <tableColumn id="5" xr3:uid="{00000000-0010-0000-0000-000005000000}" name="(2) R-&gt;L" dataDxfId="23"/>
    <tableColumn id="6" xr3:uid="{00000000-0010-0000-0000-000006000000}" name="(3) L-R" dataDxfId="22"/>
    <tableColumn id="7" xr3:uid="{00000000-0010-0000-0000-000007000000}" name="(4) Up" dataDxfId="21"/>
    <tableColumn id="8" xr3:uid="{00000000-0010-0000-0000-000008000000}" name="(5) Down" dataDxfId="2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49:F56" totalsRowShown="0" headerRowDxfId="19" dataDxfId="18">
  <autoFilter ref="A49:F56" xr:uid="{00000000-0009-0000-0100-000002000000}"/>
  <tableColumns count="6">
    <tableColumn id="1" xr3:uid="{00000000-0010-0000-0100-000001000000}" name="Implementation notes" dataDxfId="17"/>
    <tableColumn id="4" xr3:uid="{00000000-0010-0000-0100-000004000000}" name="(1) Static" dataDxfId="16"/>
    <tableColumn id="5" xr3:uid="{00000000-0010-0000-0100-000005000000}" name="(2) R-&gt;L" dataDxfId="15"/>
    <tableColumn id="6" xr3:uid="{00000000-0010-0000-0100-000006000000}" name="(3) L-R" dataDxfId="14"/>
    <tableColumn id="7" xr3:uid="{00000000-0010-0000-0100-000007000000}" name="(4) Up" dataDxfId="13"/>
    <tableColumn id="8" xr3:uid="{00000000-0010-0000-0100-000008000000}" name="(5) Down" dataDxfId="1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30:B35" totalsRowShown="0" headerRowBorderDxfId="11" tableBorderDxfId="10" totalsRowBorderDxfId="9">
  <autoFilter ref="A30:B35" xr:uid="{00000000-0009-0000-0100-000003000000}"/>
  <tableColumns count="2">
    <tableColumn id="1" xr3:uid="{00000000-0010-0000-0200-000001000000}" name="PATTERNS" dataDxfId="8"/>
    <tableColumn id="2" xr3:uid="{00000000-0010-0000-0200-000002000000}" name="Display of a…" dataDxfId="7"/>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F28" totalsRowShown="0" dataDxfId="6">
  <autoFilter ref="A1:F28" xr:uid="{00000000-0009-0000-0100-000004000000}"/>
  <tableColumns count="6">
    <tableColumn id="1" xr3:uid="{00000000-0010-0000-0300-000001000000}" name="character" dataDxfId="5"/>
    <tableColumn id="2" xr3:uid="{00000000-0010-0000-0300-000002000000}" name="UC/LC" dataDxfId="4"/>
    <tableColumn id="3" xr3:uid="{00000000-0010-0000-0300-000003000000}" name="arg" dataDxfId="3"/>
    <tableColumn id="4" xr3:uid="{00000000-0010-0000-0300-000004000000}" name="what does it do" dataDxfId="2"/>
    <tableColumn id="5" xr3:uid="{00000000-0010-0000-0300-000005000000}" name="Column1" dataDxfId="1"/>
    <tableColumn id="6" xr3:uid="{00000000-0010-0000-0300-000006000000}" name="comment"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trlProp" Target="../ctrlProps/ctrlProp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36.xml"/><Relationship Id="rId18" Type="http://schemas.openxmlformats.org/officeDocument/2006/relationships/image" Target="../media/image38.emf"/><Relationship Id="rId26" Type="http://schemas.openxmlformats.org/officeDocument/2006/relationships/image" Target="../media/image42.emf"/><Relationship Id="rId39" Type="http://schemas.openxmlformats.org/officeDocument/2006/relationships/control" Target="../activeX/activeX49.xml"/><Relationship Id="rId21" Type="http://schemas.openxmlformats.org/officeDocument/2006/relationships/control" Target="../activeX/activeX40.xml"/><Relationship Id="rId34" Type="http://schemas.openxmlformats.org/officeDocument/2006/relationships/image" Target="../media/image46.emf"/><Relationship Id="rId42" Type="http://schemas.openxmlformats.org/officeDocument/2006/relationships/image" Target="../media/image50.emf"/><Relationship Id="rId47" Type="http://schemas.openxmlformats.org/officeDocument/2006/relationships/control" Target="../activeX/activeX53.xml"/><Relationship Id="rId50" Type="http://schemas.openxmlformats.org/officeDocument/2006/relationships/image" Target="../media/image54.emf"/><Relationship Id="rId55" Type="http://schemas.openxmlformats.org/officeDocument/2006/relationships/control" Target="../activeX/activeX57.xml"/><Relationship Id="rId63" Type="http://schemas.openxmlformats.org/officeDocument/2006/relationships/control" Target="../activeX/activeX61.xml"/><Relationship Id="rId68" Type="http://schemas.openxmlformats.org/officeDocument/2006/relationships/image" Target="../media/image63.emf"/><Relationship Id="rId76" Type="http://schemas.openxmlformats.org/officeDocument/2006/relationships/image" Target="../media/image67.emf"/><Relationship Id="rId7" Type="http://schemas.openxmlformats.org/officeDocument/2006/relationships/control" Target="../activeX/activeX33.xml"/><Relationship Id="rId71" Type="http://schemas.openxmlformats.org/officeDocument/2006/relationships/control" Target="../activeX/activeX65.xml"/><Relationship Id="rId2" Type="http://schemas.openxmlformats.org/officeDocument/2006/relationships/vmlDrawing" Target="../drawings/vmlDrawing2.vml"/><Relationship Id="rId16" Type="http://schemas.openxmlformats.org/officeDocument/2006/relationships/image" Target="../media/image37.emf"/><Relationship Id="rId29" Type="http://schemas.openxmlformats.org/officeDocument/2006/relationships/control" Target="../activeX/activeX44.xml"/><Relationship Id="rId11" Type="http://schemas.openxmlformats.org/officeDocument/2006/relationships/control" Target="../activeX/activeX35.xml"/><Relationship Id="rId24" Type="http://schemas.openxmlformats.org/officeDocument/2006/relationships/image" Target="../media/image41.emf"/><Relationship Id="rId32" Type="http://schemas.openxmlformats.org/officeDocument/2006/relationships/image" Target="../media/image45.emf"/><Relationship Id="rId37" Type="http://schemas.openxmlformats.org/officeDocument/2006/relationships/control" Target="../activeX/activeX48.xml"/><Relationship Id="rId40" Type="http://schemas.openxmlformats.org/officeDocument/2006/relationships/image" Target="../media/image49.emf"/><Relationship Id="rId45" Type="http://schemas.openxmlformats.org/officeDocument/2006/relationships/control" Target="../activeX/activeX52.xml"/><Relationship Id="rId53" Type="http://schemas.openxmlformats.org/officeDocument/2006/relationships/control" Target="../activeX/activeX56.xml"/><Relationship Id="rId58" Type="http://schemas.openxmlformats.org/officeDocument/2006/relationships/image" Target="../media/image58.emf"/><Relationship Id="rId66" Type="http://schemas.openxmlformats.org/officeDocument/2006/relationships/image" Target="../media/image62.emf"/><Relationship Id="rId74" Type="http://schemas.openxmlformats.org/officeDocument/2006/relationships/image" Target="../media/image66.emf"/><Relationship Id="rId5" Type="http://schemas.openxmlformats.org/officeDocument/2006/relationships/control" Target="../activeX/activeX32.xml"/><Relationship Id="rId15" Type="http://schemas.openxmlformats.org/officeDocument/2006/relationships/control" Target="../activeX/activeX37.xml"/><Relationship Id="rId23" Type="http://schemas.openxmlformats.org/officeDocument/2006/relationships/control" Target="../activeX/activeX41.xml"/><Relationship Id="rId28" Type="http://schemas.openxmlformats.org/officeDocument/2006/relationships/image" Target="../media/image43.emf"/><Relationship Id="rId36" Type="http://schemas.openxmlformats.org/officeDocument/2006/relationships/image" Target="../media/image47.emf"/><Relationship Id="rId49" Type="http://schemas.openxmlformats.org/officeDocument/2006/relationships/control" Target="../activeX/activeX54.xml"/><Relationship Id="rId57" Type="http://schemas.openxmlformats.org/officeDocument/2006/relationships/control" Target="../activeX/activeX58.xml"/><Relationship Id="rId61" Type="http://schemas.openxmlformats.org/officeDocument/2006/relationships/control" Target="../activeX/activeX60.xml"/><Relationship Id="rId10" Type="http://schemas.openxmlformats.org/officeDocument/2006/relationships/image" Target="../media/image34.emf"/><Relationship Id="rId19" Type="http://schemas.openxmlformats.org/officeDocument/2006/relationships/control" Target="../activeX/activeX39.xml"/><Relationship Id="rId31" Type="http://schemas.openxmlformats.org/officeDocument/2006/relationships/control" Target="../activeX/activeX45.xml"/><Relationship Id="rId44" Type="http://schemas.openxmlformats.org/officeDocument/2006/relationships/image" Target="../media/image51.emf"/><Relationship Id="rId52" Type="http://schemas.openxmlformats.org/officeDocument/2006/relationships/image" Target="../media/image55.emf"/><Relationship Id="rId60" Type="http://schemas.openxmlformats.org/officeDocument/2006/relationships/image" Target="../media/image59.emf"/><Relationship Id="rId65" Type="http://schemas.openxmlformats.org/officeDocument/2006/relationships/control" Target="../activeX/activeX62.xml"/><Relationship Id="rId73" Type="http://schemas.openxmlformats.org/officeDocument/2006/relationships/control" Target="../activeX/activeX66.xml"/><Relationship Id="rId78" Type="http://schemas.openxmlformats.org/officeDocument/2006/relationships/image" Target="../media/image68.emf"/><Relationship Id="rId4" Type="http://schemas.openxmlformats.org/officeDocument/2006/relationships/image" Target="../media/image31.emf"/><Relationship Id="rId9" Type="http://schemas.openxmlformats.org/officeDocument/2006/relationships/control" Target="../activeX/activeX34.xml"/><Relationship Id="rId14" Type="http://schemas.openxmlformats.org/officeDocument/2006/relationships/image" Target="../media/image36.emf"/><Relationship Id="rId22" Type="http://schemas.openxmlformats.org/officeDocument/2006/relationships/image" Target="../media/image40.emf"/><Relationship Id="rId27" Type="http://schemas.openxmlformats.org/officeDocument/2006/relationships/control" Target="../activeX/activeX43.xml"/><Relationship Id="rId30" Type="http://schemas.openxmlformats.org/officeDocument/2006/relationships/image" Target="../media/image44.emf"/><Relationship Id="rId35" Type="http://schemas.openxmlformats.org/officeDocument/2006/relationships/control" Target="../activeX/activeX47.xml"/><Relationship Id="rId43" Type="http://schemas.openxmlformats.org/officeDocument/2006/relationships/control" Target="../activeX/activeX51.xml"/><Relationship Id="rId48" Type="http://schemas.openxmlformats.org/officeDocument/2006/relationships/image" Target="../media/image53.emf"/><Relationship Id="rId56" Type="http://schemas.openxmlformats.org/officeDocument/2006/relationships/image" Target="../media/image57.emf"/><Relationship Id="rId64" Type="http://schemas.openxmlformats.org/officeDocument/2006/relationships/image" Target="../media/image61.emf"/><Relationship Id="rId69" Type="http://schemas.openxmlformats.org/officeDocument/2006/relationships/control" Target="../activeX/activeX64.xml"/><Relationship Id="rId77" Type="http://schemas.openxmlformats.org/officeDocument/2006/relationships/control" Target="../activeX/activeX68.xml"/><Relationship Id="rId8" Type="http://schemas.openxmlformats.org/officeDocument/2006/relationships/image" Target="../media/image33.emf"/><Relationship Id="rId51" Type="http://schemas.openxmlformats.org/officeDocument/2006/relationships/control" Target="../activeX/activeX55.xml"/><Relationship Id="rId72" Type="http://schemas.openxmlformats.org/officeDocument/2006/relationships/image" Target="../media/image65.emf"/><Relationship Id="rId3" Type="http://schemas.openxmlformats.org/officeDocument/2006/relationships/control" Target="../activeX/activeX31.xml"/><Relationship Id="rId12" Type="http://schemas.openxmlformats.org/officeDocument/2006/relationships/image" Target="../media/image35.emf"/><Relationship Id="rId17" Type="http://schemas.openxmlformats.org/officeDocument/2006/relationships/control" Target="../activeX/activeX38.xml"/><Relationship Id="rId25" Type="http://schemas.openxmlformats.org/officeDocument/2006/relationships/control" Target="../activeX/activeX42.xml"/><Relationship Id="rId33" Type="http://schemas.openxmlformats.org/officeDocument/2006/relationships/control" Target="../activeX/activeX46.xml"/><Relationship Id="rId38" Type="http://schemas.openxmlformats.org/officeDocument/2006/relationships/image" Target="../media/image48.emf"/><Relationship Id="rId46" Type="http://schemas.openxmlformats.org/officeDocument/2006/relationships/image" Target="../media/image52.emf"/><Relationship Id="rId59" Type="http://schemas.openxmlformats.org/officeDocument/2006/relationships/control" Target="../activeX/activeX59.xml"/><Relationship Id="rId67" Type="http://schemas.openxmlformats.org/officeDocument/2006/relationships/control" Target="../activeX/activeX63.xml"/><Relationship Id="rId20" Type="http://schemas.openxmlformats.org/officeDocument/2006/relationships/image" Target="../media/image39.emf"/><Relationship Id="rId41" Type="http://schemas.openxmlformats.org/officeDocument/2006/relationships/control" Target="../activeX/activeX50.xml"/><Relationship Id="rId54" Type="http://schemas.openxmlformats.org/officeDocument/2006/relationships/image" Target="../media/image56.emf"/><Relationship Id="rId62" Type="http://schemas.openxmlformats.org/officeDocument/2006/relationships/image" Target="../media/image60.emf"/><Relationship Id="rId70" Type="http://schemas.openxmlformats.org/officeDocument/2006/relationships/image" Target="../media/image64.emf"/><Relationship Id="rId75" Type="http://schemas.openxmlformats.org/officeDocument/2006/relationships/control" Target="../activeX/activeX67.xml"/><Relationship Id="rId1" Type="http://schemas.openxmlformats.org/officeDocument/2006/relationships/drawing" Target="../drawings/drawing2.xml"/><Relationship Id="rId6" Type="http://schemas.openxmlformats.org/officeDocument/2006/relationships/image" Target="../media/image32.emf"/></Relationships>
</file>

<file path=xl/worksheets/_rels/sheet3.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control" Target="../activeX/activeX69.xml"/><Relationship Id="rId7" Type="http://schemas.openxmlformats.org/officeDocument/2006/relationships/control" Target="../activeX/activeX7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0.emf"/><Relationship Id="rId5" Type="http://schemas.openxmlformats.org/officeDocument/2006/relationships/control" Target="../activeX/activeX70.xml"/><Relationship Id="rId10" Type="http://schemas.openxmlformats.org/officeDocument/2006/relationships/image" Target="../media/image72.emf"/><Relationship Id="rId4" Type="http://schemas.openxmlformats.org/officeDocument/2006/relationships/image" Target="../media/image69.emf"/><Relationship Id="rId9" Type="http://schemas.openxmlformats.org/officeDocument/2006/relationships/control" Target="../activeX/activeX7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4"/>
  <sheetViews>
    <sheetView tabSelected="1" zoomScaleNormal="100" workbookViewId="0">
      <selection activeCell="B10" sqref="B10:N10"/>
    </sheetView>
  </sheetViews>
  <sheetFormatPr defaultRowHeight="14.25" x14ac:dyDescent="0.2"/>
  <cols>
    <col min="16" max="16" width="10.125" customWidth="1"/>
    <col min="18" max="18" width="73.25" bestFit="1" customWidth="1"/>
  </cols>
  <sheetData>
    <row r="1" spans="1:33" x14ac:dyDescent="0.2">
      <c r="A1" s="2"/>
      <c r="B1" s="3"/>
      <c r="C1" s="3"/>
      <c r="D1" s="3"/>
      <c r="E1" s="3"/>
      <c r="F1" s="3"/>
      <c r="G1" s="3"/>
      <c r="H1" s="3"/>
      <c r="I1" s="3"/>
      <c r="J1" s="3"/>
      <c r="K1" s="3"/>
      <c r="L1" s="3"/>
      <c r="M1" s="3"/>
      <c r="N1" s="3"/>
      <c r="O1" s="3"/>
      <c r="P1" s="4"/>
      <c r="R1" t="s">
        <v>98</v>
      </c>
    </row>
    <row r="2" spans="1:33" x14ac:dyDescent="0.2">
      <c r="A2" s="5"/>
      <c r="B2" s="6" t="b">
        <v>1</v>
      </c>
      <c r="C2" s="6"/>
      <c r="D2" s="6"/>
      <c r="E2" s="6"/>
      <c r="F2" s="6"/>
      <c r="G2" s="6"/>
      <c r="H2" s="6"/>
      <c r="I2" s="6"/>
      <c r="J2" s="6"/>
      <c r="K2" s="6"/>
      <c r="L2" s="6"/>
      <c r="M2" s="6"/>
      <c r="N2" s="6"/>
      <c r="O2" s="6"/>
      <c r="P2" s="11"/>
    </row>
    <row r="3" spans="1:33" x14ac:dyDescent="0.2">
      <c r="A3" s="5"/>
      <c r="B3" s="6" t="b">
        <v>0</v>
      </c>
      <c r="C3" s="6"/>
      <c r="D3" s="6"/>
      <c r="E3" s="6"/>
      <c r="F3" s="6"/>
      <c r="G3" s="6"/>
      <c r="H3" s="6"/>
      <c r="I3" s="6"/>
      <c r="J3" s="6"/>
      <c r="K3" s="6"/>
      <c r="L3" s="6"/>
      <c r="M3" s="6"/>
      <c r="N3" s="6"/>
      <c r="O3" s="6"/>
      <c r="P3" s="11"/>
      <c r="Q3" s="15" t="s">
        <v>94</v>
      </c>
      <c r="R3" t="s">
        <v>96</v>
      </c>
    </row>
    <row r="4" spans="1:33" x14ac:dyDescent="0.2">
      <c r="A4" s="5"/>
      <c r="B4" s="6" t="b">
        <v>1</v>
      </c>
      <c r="C4" s="6"/>
      <c r="D4" s="6"/>
      <c r="E4" s="6"/>
      <c r="F4" s="6"/>
      <c r="G4" s="6"/>
      <c r="H4" s="6"/>
      <c r="I4" s="6"/>
      <c r="J4" s="6"/>
      <c r="K4" s="6"/>
      <c r="L4" s="6"/>
      <c r="M4" s="6"/>
      <c r="N4" s="6"/>
      <c r="O4" s="6"/>
      <c r="P4" s="7"/>
      <c r="Q4" s="15" t="s">
        <v>95</v>
      </c>
      <c r="R4" t="s">
        <v>97</v>
      </c>
    </row>
    <row r="5" spans="1:33" x14ac:dyDescent="0.2">
      <c r="A5" s="5"/>
      <c r="B5" s="6" t="b">
        <v>0</v>
      </c>
      <c r="C5" s="6"/>
      <c r="D5" s="6"/>
      <c r="E5" s="6"/>
      <c r="F5" s="6"/>
      <c r="G5" s="6"/>
      <c r="H5" s="6"/>
      <c r="I5" s="6"/>
      <c r="J5" s="6"/>
      <c r="K5" s="6"/>
      <c r="L5" s="6"/>
      <c r="M5" s="6"/>
      <c r="N5" s="6"/>
      <c r="O5" s="6"/>
      <c r="P5" s="7"/>
      <c r="Q5" s="15" t="s">
        <v>128</v>
      </c>
      <c r="R5" t="s">
        <v>90</v>
      </c>
    </row>
    <row r="6" spans="1:33" x14ac:dyDescent="0.2">
      <c r="A6" s="5"/>
      <c r="B6" s="6" t="b">
        <v>1</v>
      </c>
      <c r="C6" s="6"/>
      <c r="D6" s="6"/>
      <c r="E6" s="6"/>
      <c r="F6" s="6"/>
      <c r="G6" s="6"/>
      <c r="H6" s="6"/>
      <c r="I6" s="6"/>
      <c r="J6" s="6"/>
      <c r="K6" s="6"/>
      <c r="L6" s="6"/>
      <c r="M6" s="6"/>
      <c r="N6" s="6"/>
      <c r="O6" s="6"/>
      <c r="P6" s="7"/>
      <c r="Q6" s="15" t="s">
        <v>88</v>
      </c>
      <c r="R6" t="s">
        <v>91</v>
      </c>
    </row>
    <row r="7" spans="1:33" x14ac:dyDescent="0.2">
      <c r="A7" s="5"/>
      <c r="B7" s="6"/>
      <c r="C7" s="6"/>
      <c r="D7" s="6"/>
      <c r="E7" s="6"/>
      <c r="F7" s="6"/>
      <c r="G7" s="6"/>
      <c r="H7" s="6"/>
      <c r="I7" s="6"/>
      <c r="J7" s="6"/>
      <c r="K7" s="6"/>
      <c r="L7" s="6"/>
      <c r="M7" s="6"/>
      <c r="N7" s="6"/>
      <c r="O7" s="6"/>
      <c r="P7" s="11"/>
      <c r="Q7" s="15" t="s">
        <v>89</v>
      </c>
      <c r="R7" t="s">
        <v>92</v>
      </c>
    </row>
    <row r="8" spans="1:33" x14ac:dyDescent="0.2">
      <c r="A8" s="5"/>
      <c r="B8" s="6"/>
      <c r="C8" s="6"/>
      <c r="D8" s="6"/>
      <c r="E8" s="6"/>
      <c r="F8" s="6"/>
      <c r="G8" s="6"/>
      <c r="H8" s="6"/>
      <c r="I8" s="6"/>
      <c r="J8" s="6"/>
      <c r="K8" s="6"/>
      <c r="L8" s="6"/>
      <c r="M8" s="6"/>
      <c r="N8" s="6"/>
      <c r="O8" s="6"/>
      <c r="P8" s="11"/>
      <c r="Q8" s="15" t="s">
        <v>129</v>
      </c>
      <c r="R8" t="s">
        <v>93</v>
      </c>
    </row>
    <row r="9" spans="1:33" ht="15" thickBot="1" x14ac:dyDescent="0.25">
      <c r="A9" s="8"/>
      <c r="B9" s="9"/>
      <c r="C9" s="9"/>
      <c r="D9" s="9"/>
      <c r="E9" s="9"/>
      <c r="F9" s="9"/>
      <c r="G9" s="9"/>
      <c r="H9" s="9"/>
      <c r="I9" s="9"/>
      <c r="J9" s="9"/>
      <c r="K9" s="9"/>
      <c r="L9" s="9"/>
      <c r="M9" s="9"/>
      <c r="N9" s="9"/>
      <c r="O9" s="9"/>
      <c r="P9" s="10"/>
    </row>
    <row r="10" spans="1:33" ht="42" customHeight="1" thickBot="1" x14ac:dyDescent="0.25">
      <c r="A10" s="1" t="s">
        <v>273</v>
      </c>
      <c r="B10" s="130" t="s">
        <v>289</v>
      </c>
      <c r="C10" s="131"/>
      <c r="D10" s="131"/>
      <c r="E10" s="131"/>
      <c r="F10" s="131"/>
      <c r="G10" s="131"/>
      <c r="H10" s="131"/>
      <c r="I10" s="131"/>
      <c r="J10" s="131"/>
      <c r="K10" s="131"/>
      <c r="L10" s="131"/>
      <c r="M10" s="131"/>
      <c r="N10" s="131"/>
      <c r="O10" s="141"/>
      <c r="P10" s="142"/>
    </row>
    <row r="11" spans="1:33" x14ac:dyDescent="0.2">
      <c r="A11" s="132"/>
      <c r="B11" s="133"/>
      <c r="C11" s="133"/>
      <c r="D11" s="133"/>
      <c r="E11" s="133"/>
      <c r="F11" s="133"/>
      <c r="G11" s="133"/>
      <c r="H11" s="133"/>
      <c r="I11" s="133"/>
      <c r="J11" s="133"/>
      <c r="K11" s="133"/>
      <c r="L11" s="133"/>
      <c r="M11" s="133"/>
      <c r="N11" s="133"/>
      <c r="O11" s="133"/>
      <c r="P11" s="134"/>
      <c r="R11" t="s">
        <v>200</v>
      </c>
    </row>
    <row r="12" spans="1:33" x14ac:dyDescent="0.2">
      <c r="A12" s="135"/>
      <c r="B12" s="136"/>
      <c r="C12" s="136"/>
      <c r="D12" s="136"/>
      <c r="E12" s="136"/>
      <c r="F12" s="136"/>
      <c r="G12" s="136"/>
      <c r="H12" s="136"/>
      <c r="I12" s="136"/>
      <c r="J12" s="136"/>
      <c r="K12" s="136"/>
      <c r="L12" s="136"/>
      <c r="M12" s="136"/>
      <c r="N12" s="136"/>
      <c r="O12" s="136"/>
      <c r="P12" s="137"/>
    </row>
    <row r="13" spans="1:33" x14ac:dyDescent="0.2">
      <c r="A13" s="135"/>
      <c r="B13" s="136"/>
      <c r="C13" s="136"/>
      <c r="D13" s="136"/>
      <c r="E13" s="136"/>
      <c r="F13" s="136"/>
      <c r="G13" s="136"/>
      <c r="H13" s="136"/>
      <c r="I13" s="136"/>
      <c r="J13" s="136"/>
      <c r="K13" s="136"/>
      <c r="L13" s="136"/>
      <c r="M13" s="136"/>
      <c r="N13" s="136"/>
      <c r="O13" s="136"/>
      <c r="P13" s="137"/>
      <c r="R13" s="13" t="s">
        <v>12</v>
      </c>
    </row>
    <row r="14" spans="1:33" x14ac:dyDescent="0.2">
      <c r="A14" s="135"/>
      <c r="B14" s="136"/>
      <c r="C14" s="136"/>
      <c r="D14" s="136"/>
      <c r="E14" s="136"/>
      <c r="F14" s="136"/>
      <c r="G14" s="136"/>
      <c r="H14" s="136"/>
      <c r="I14" s="136"/>
      <c r="J14" s="136"/>
      <c r="K14" s="136"/>
      <c r="L14" s="136"/>
      <c r="M14" s="136"/>
      <c r="N14" s="136"/>
      <c r="O14" s="136"/>
      <c r="P14" s="137"/>
      <c r="R14" s="127" t="s">
        <v>201</v>
      </c>
      <c r="S14" s="128"/>
      <c r="T14" s="128"/>
      <c r="U14" s="128"/>
      <c r="V14" s="128"/>
      <c r="W14" s="128"/>
      <c r="X14" s="128"/>
      <c r="Y14" s="128"/>
      <c r="Z14" s="128"/>
      <c r="AA14" s="128"/>
      <c r="AB14" s="128"/>
      <c r="AC14" s="128"/>
      <c r="AD14" s="128"/>
      <c r="AE14" s="128"/>
      <c r="AF14" s="129"/>
      <c r="AG14" s="13"/>
    </row>
    <row r="15" spans="1:33" x14ac:dyDescent="0.2">
      <c r="A15" s="135"/>
      <c r="B15" s="136"/>
      <c r="C15" s="136"/>
      <c r="D15" s="136"/>
      <c r="E15" s="136"/>
      <c r="F15" s="136"/>
      <c r="G15" s="136"/>
      <c r="H15" s="136"/>
      <c r="I15" s="136"/>
      <c r="J15" s="136"/>
      <c r="K15" s="136"/>
      <c r="L15" s="136"/>
      <c r="M15" s="136"/>
      <c r="N15" s="136"/>
      <c r="O15" s="136"/>
      <c r="P15" s="137"/>
      <c r="R15" t="s">
        <v>7</v>
      </c>
    </row>
    <row r="16" spans="1:33" x14ac:dyDescent="0.2">
      <c r="A16" s="135"/>
      <c r="B16" s="136"/>
      <c r="C16" s="136"/>
      <c r="D16" s="136"/>
      <c r="E16" s="136"/>
      <c r="F16" s="136"/>
      <c r="G16" s="136"/>
      <c r="H16" s="136"/>
      <c r="I16" s="136"/>
      <c r="J16" s="136"/>
      <c r="K16" s="136"/>
      <c r="L16" s="136"/>
      <c r="M16" s="136"/>
      <c r="N16" s="136"/>
      <c r="O16" s="136"/>
      <c r="P16" s="137"/>
      <c r="R16" s="13" t="s">
        <v>6</v>
      </c>
      <c r="S16" s="13"/>
      <c r="T16" s="13"/>
      <c r="U16" s="13"/>
      <c r="V16" s="13"/>
      <c r="W16" s="13"/>
      <c r="X16" s="13"/>
      <c r="Y16" s="13"/>
      <c r="Z16" s="13"/>
      <c r="AA16" s="13"/>
      <c r="AB16" s="13"/>
      <c r="AC16" s="13"/>
      <c r="AD16" s="13"/>
      <c r="AE16" s="13"/>
      <c r="AF16" s="13"/>
    </row>
    <row r="17" spans="1:32" x14ac:dyDescent="0.2">
      <c r="A17" s="135"/>
      <c r="B17" s="136"/>
      <c r="C17" s="136"/>
      <c r="D17" s="136"/>
      <c r="E17" s="136"/>
      <c r="F17" s="136"/>
      <c r="G17" s="136"/>
      <c r="H17" s="136"/>
      <c r="I17" s="136"/>
      <c r="J17" s="136"/>
      <c r="K17" s="136"/>
      <c r="L17" s="136"/>
      <c r="M17" s="136"/>
      <c r="N17" s="136"/>
      <c r="O17" s="136"/>
      <c r="P17" s="137"/>
      <c r="R17" s="13" t="s">
        <v>4</v>
      </c>
    </row>
    <row r="18" spans="1:32" x14ac:dyDescent="0.2">
      <c r="A18" s="135"/>
      <c r="B18" s="136"/>
      <c r="C18" s="136"/>
      <c r="D18" s="136"/>
      <c r="E18" s="136"/>
      <c r="F18" s="136"/>
      <c r="G18" s="136"/>
      <c r="H18" s="136"/>
      <c r="I18" s="136"/>
      <c r="J18" s="136"/>
      <c r="K18" s="136"/>
      <c r="L18" s="136"/>
      <c r="M18" s="136"/>
      <c r="N18" s="136"/>
      <c r="O18" s="136"/>
      <c r="P18" s="137"/>
      <c r="R18" s="13" t="s">
        <v>5</v>
      </c>
    </row>
    <row r="19" spans="1:32" x14ac:dyDescent="0.2">
      <c r="A19" s="135"/>
      <c r="B19" s="136"/>
      <c r="C19" s="136"/>
      <c r="D19" s="136"/>
      <c r="E19" s="136"/>
      <c r="F19" s="136"/>
      <c r="G19" s="136"/>
      <c r="H19" s="136"/>
      <c r="I19" s="136"/>
      <c r="J19" s="136"/>
      <c r="K19" s="136"/>
      <c r="L19" s="136"/>
      <c r="M19" s="136"/>
      <c r="N19" s="136"/>
      <c r="O19" s="136"/>
      <c r="P19" s="137"/>
      <c r="R19" t="s">
        <v>9</v>
      </c>
    </row>
    <row r="20" spans="1:32" x14ac:dyDescent="0.2">
      <c r="A20" s="135"/>
      <c r="B20" s="136"/>
      <c r="C20" s="136"/>
      <c r="D20" s="136"/>
      <c r="E20" s="136"/>
      <c r="F20" s="136"/>
      <c r="G20" s="136"/>
      <c r="H20" s="136"/>
      <c r="I20" s="136"/>
      <c r="J20" s="136"/>
      <c r="K20" s="136"/>
      <c r="L20" s="136"/>
      <c r="M20" s="136"/>
      <c r="N20" s="136"/>
      <c r="O20" s="136"/>
      <c r="P20" s="137"/>
      <c r="R20" t="s">
        <v>13</v>
      </c>
    </row>
    <row r="21" spans="1:32" ht="15" thickBot="1" x14ac:dyDescent="0.25">
      <c r="A21" s="138"/>
      <c r="B21" s="139"/>
      <c r="C21" s="139"/>
      <c r="D21" s="139"/>
      <c r="E21" s="139"/>
      <c r="F21" s="139"/>
      <c r="G21" s="139"/>
      <c r="H21" s="139"/>
      <c r="I21" s="139"/>
      <c r="J21" s="139"/>
      <c r="K21" s="139"/>
      <c r="L21" s="139"/>
      <c r="M21" s="139"/>
      <c r="N21" s="139"/>
      <c r="O21" s="139"/>
      <c r="P21" s="140"/>
      <c r="R21" s="13" t="s">
        <v>10</v>
      </c>
    </row>
    <row r="22" spans="1:32" x14ac:dyDescent="0.2">
      <c r="A22" s="133"/>
      <c r="B22" s="133"/>
      <c r="C22" s="133"/>
      <c r="D22" s="133"/>
      <c r="E22" s="133"/>
      <c r="F22" s="133"/>
      <c r="G22" s="133"/>
      <c r="H22" s="133"/>
      <c r="I22" s="133"/>
      <c r="J22" s="133"/>
      <c r="K22" s="133"/>
      <c r="L22" s="133"/>
      <c r="M22" s="133"/>
      <c r="N22" s="133"/>
      <c r="O22" s="133"/>
      <c r="P22" s="133"/>
      <c r="R22" s="13" t="s">
        <v>11</v>
      </c>
    </row>
    <row r="23" spans="1:32" x14ac:dyDescent="0.2">
      <c r="A23" s="136"/>
      <c r="B23" s="136"/>
      <c r="C23" s="136"/>
      <c r="D23" s="136"/>
      <c r="E23" s="136"/>
      <c r="F23" s="136"/>
      <c r="G23" s="136"/>
      <c r="H23" s="136"/>
      <c r="I23" s="136"/>
      <c r="J23" s="136"/>
      <c r="K23" s="136"/>
      <c r="L23" s="136"/>
      <c r="M23" s="136"/>
      <c r="N23" s="136"/>
      <c r="O23" s="136"/>
      <c r="P23" s="136"/>
    </row>
    <row r="24" spans="1:32" x14ac:dyDescent="0.2">
      <c r="A24" s="136"/>
      <c r="B24" s="136"/>
      <c r="C24" s="136"/>
      <c r="D24" s="136"/>
      <c r="E24" s="136"/>
      <c r="F24" s="136"/>
      <c r="G24" s="136"/>
      <c r="H24" s="136"/>
      <c r="I24" s="136"/>
      <c r="J24" s="136"/>
      <c r="K24" s="136"/>
      <c r="L24" s="136"/>
      <c r="M24" s="136"/>
      <c r="N24" s="136"/>
      <c r="O24" s="136"/>
      <c r="P24" s="136"/>
      <c r="R24" s="127" t="s">
        <v>3</v>
      </c>
      <c r="S24" s="128"/>
      <c r="T24" s="128"/>
      <c r="U24" s="128"/>
      <c r="V24" s="128"/>
      <c r="W24" s="128"/>
      <c r="X24" s="128"/>
      <c r="Y24" s="128"/>
      <c r="Z24" s="128"/>
      <c r="AA24" s="128"/>
      <c r="AB24" s="128"/>
      <c r="AC24" s="128"/>
      <c r="AD24" s="128"/>
      <c r="AE24" s="128"/>
      <c r="AF24" s="129"/>
    </row>
    <row r="25" spans="1:32" x14ac:dyDescent="0.2">
      <c r="A25" s="136"/>
      <c r="B25" s="136"/>
      <c r="C25" s="136"/>
      <c r="D25" s="136"/>
      <c r="E25" s="136"/>
      <c r="F25" s="136"/>
      <c r="G25" s="136"/>
      <c r="H25" s="136"/>
      <c r="I25" s="136"/>
      <c r="J25" s="136"/>
      <c r="K25" s="136"/>
      <c r="L25" s="136"/>
      <c r="M25" s="136"/>
      <c r="N25" s="136"/>
      <c r="O25" s="136"/>
      <c r="P25" s="136"/>
      <c r="R25" s="127" t="s">
        <v>279</v>
      </c>
      <c r="S25" s="128"/>
      <c r="T25" s="128"/>
      <c r="U25" s="128"/>
      <c r="V25" s="128"/>
      <c r="W25" s="128"/>
      <c r="X25" s="128"/>
      <c r="Y25" s="128"/>
      <c r="Z25" s="128"/>
      <c r="AA25" s="128"/>
      <c r="AB25" s="128"/>
      <c r="AC25" s="128"/>
      <c r="AD25" s="128"/>
      <c r="AE25" s="128"/>
      <c r="AF25" s="129"/>
    </row>
    <row r="26" spans="1:32" x14ac:dyDescent="0.2">
      <c r="A26" s="136"/>
      <c r="B26" s="136"/>
      <c r="C26" s="136"/>
      <c r="D26" s="136"/>
      <c r="E26" s="136"/>
      <c r="F26" s="136"/>
      <c r="G26" s="136"/>
      <c r="H26" s="136"/>
      <c r="I26" s="136"/>
      <c r="J26" s="136"/>
      <c r="K26" s="136"/>
      <c r="L26" s="136"/>
      <c r="M26" s="136"/>
      <c r="N26" s="136"/>
      <c r="O26" s="136"/>
      <c r="P26" s="136"/>
      <c r="R26" s="127" t="s">
        <v>1</v>
      </c>
      <c r="S26" s="128"/>
      <c r="T26" s="128"/>
      <c r="U26" s="128"/>
      <c r="V26" s="128"/>
      <c r="W26" s="128"/>
      <c r="X26" s="128"/>
      <c r="Y26" s="128"/>
      <c r="Z26" s="128"/>
      <c r="AA26" s="128"/>
      <c r="AB26" s="128"/>
      <c r="AC26" s="128"/>
      <c r="AD26" s="128"/>
      <c r="AE26" s="128"/>
      <c r="AF26" s="129"/>
    </row>
    <row r="27" spans="1:32" x14ac:dyDescent="0.2">
      <c r="A27" s="136"/>
      <c r="B27" s="136"/>
      <c r="C27" s="136"/>
      <c r="D27" s="136"/>
      <c r="E27" s="136"/>
      <c r="F27" s="136"/>
      <c r="G27" s="136"/>
      <c r="H27" s="136"/>
      <c r="I27" s="136"/>
      <c r="J27" s="136"/>
      <c r="K27" s="136"/>
      <c r="L27" s="136"/>
      <c r="M27" s="136"/>
      <c r="N27" s="136"/>
      <c r="O27" s="136"/>
      <c r="P27" s="136"/>
      <c r="R27" s="127" t="s">
        <v>173</v>
      </c>
      <c r="S27" s="128"/>
      <c r="T27" s="128"/>
      <c r="U27" s="128"/>
      <c r="V27" s="128"/>
      <c r="W27" s="128"/>
      <c r="X27" s="128"/>
      <c r="Y27" s="128"/>
      <c r="Z27" s="128"/>
      <c r="AA27" s="128"/>
      <c r="AB27" s="128"/>
      <c r="AC27" s="128"/>
      <c r="AD27" s="128"/>
      <c r="AE27" s="128"/>
      <c r="AF27" s="129"/>
    </row>
    <row r="28" spans="1:32" x14ac:dyDescent="0.2">
      <c r="A28" s="136"/>
      <c r="B28" s="136"/>
      <c r="C28" s="136"/>
      <c r="D28" s="136"/>
      <c r="E28" s="136"/>
      <c r="F28" s="136"/>
      <c r="G28" s="136"/>
      <c r="H28" s="136"/>
      <c r="I28" s="136"/>
      <c r="J28" s="136"/>
      <c r="K28" s="136"/>
      <c r="L28" s="136"/>
      <c r="M28" s="136"/>
      <c r="N28" s="136"/>
      <c r="O28" s="136"/>
      <c r="P28" s="136"/>
      <c r="R28" s="127" t="s">
        <v>197</v>
      </c>
      <c r="S28" s="128"/>
      <c r="T28" s="128"/>
      <c r="U28" s="128"/>
      <c r="V28" s="128"/>
      <c r="W28" s="128"/>
      <c r="X28" s="128"/>
      <c r="Y28" s="128"/>
      <c r="Z28" s="128"/>
      <c r="AA28" s="128"/>
      <c r="AB28" s="128"/>
      <c r="AC28" s="128"/>
      <c r="AD28" s="128"/>
      <c r="AE28" s="128"/>
      <c r="AF28" s="129"/>
    </row>
    <row r="29" spans="1:32" x14ac:dyDescent="0.2">
      <c r="A29" s="136"/>
      <c r="B29" s="136"/>
      <c r="C29" s="136"/>
      <c r="D29" s="136"/>
      <c r="E29" s="136"/>
      <c r="F29" s="136"/>
      <c r="G29" s="136"/>
      <c r="H29" s="136"/>
      <c r="I29" s="136"/>
      <c r="J29" s="136"/>
      <c r="K29" s="136"/>
      <c r="L29" s="136"/>
      <c r="M29" s="136"/>
      <c r="N29" s="136"/>
      <c r="O29" s="136"/>
      <c r="P29" s="136"/>
      <c r="R29" s="127" t="s">
        <v>196</v>
      </c>
      <c r="S29" s="128"/>
      <c r="T29" s="128"/>
      <c r="U29" s="128"/>
      <c r="V29" s="128"/>
      <c r="W29" s="128"/>
      <c r="X29" s="128"/>
      <c r="Y29" s="128"/>
      <c r="Z29" s="128"/>
      <c r="AA29" s="128"/>
      <c r="AB29" s="128"/>
      <c r="AC29" s="128"/>
      <c r="AD29" s="128"/>
      <c r="AE29" s="128"/>
      <c r="AF29" s="129"/>
    </row>
    <row r="30" spans="1:32" x14ac:dyDescent="0.2">
      <c r="A30" s="136"/>
      <c r="B30" s="136"/>
      <c r="C30" s="136"/>
      <c r="D30" s="136"/>
      <c r="E30" s="136"/>
      <c r="F30" s="136"/>
      <c r="G30" s="136"/>
      <c r="H30" s="136"/>
      <c r="I30" s="136"/>
      <c r="J30" s="136"/>
      <c r="K30" s="136"/>
      <c r="L30" s="136"/>
      <c r="M30" s="136"/>
      <c r="N30" s="136"/>
      <c r="O30" s="136"/>
      <c r="P30" s="136"/>
    </row>
    <row r="31" spans="1:32" x14ac:dyDescent="0.2">
      <c r="A31" s="136"/>
      <c r="B31" s="136"/>
      <c r="C31" s="136"/>
      <c r="D31" s="136"/>
      <c r="E31" s="136"/>
      <c r="F31" s="136"/>
      <c r="G31" s="136"/>
      <c r="H31" s="136"/>
      <c r="I31" s="136"/>
      <c r="J31" s="136"/>
      <c r="K31" s="136"/>
      <c r="L31" s="136"/>
      <c r="M31" s="136"/>
      <c r="N31" s="136"/>
      <c r="O31" s="136"/>
      <c r="P31" s="136"/>
    </row>
    <row r="32" spans="1:32" x14ac:dyDescent="0.2">
      <c r="A32" s="136"/>
      <c r="B32" s="136"/>
      <c r="C32" s="136"/>
      <c r="D32" s="136"/>
      <c r="E32" s="136"/>
      <c r="F32" s="136"/>
      <c r="G32" s="136"/>
      <c r="H32" s="136"/>
      <c r="I32" s="136"/>
      <c r="J32" s="136"/>
      <c r="K32" s="136"/>
      <c r="L32" s="136"/>
      <c r="M32" s="136"/>
      <c r="N32" s="136"/>
      <c r="O32" s="136"/>
      <c r="P32" s="136"/>
    </row>
    <row r="33" spans="1:16" x14ac:dyDescent="0.2">
      <c r="A33" s="136"/>
      <c r="B33" s="136"/>
      <c r="C33" s="136"/>
      <c r="D33" s="136"/>
      <c r="E33" s="136"/>
      <c r="F33" s="136"/>
      <c r="G33" s="136"/>
      <c r="H33" s="136"/>
      <c r="I33" s="136"/>
      <c r="J33" s="136"/>
      <c r="K33" s="136"/>
      <c r="L33" s="136"/>
      <c r="M33" s="136"/>
      <c r="N33" s="136"/>
      <c r="O33" s="136"/>
      <c r="P33" s="136"/>
    </row>
    <row r="34" spans="1:16" x14ac:dyDescent="0.2">
      <c r="A34" s="136"/>
      <c r="B34" s="136"/>
      <c r="C34" s="136"/>
      <c r="D34" s="136"/>
      <c r="E34" s="136"/>
      <c r="F34" s="136"/>
      <c r="G34" s="136"/>
      <c r="H34" s="136"/>
      <c r="I34" s="136"/>
      <c r="J34" s="136"/>
      <c r="K34" s="136"/>
      <c r="L34" s="136"/>
      <c r="M34" s="136"/>
      <c r="N34" s="136"/>
      <c r="O34" s="136"/>
      <c r="P34" s="136"/>
    </row>
    <row r="35" spans="1:16" ht="4.5" customHeight="1" x14ac:dyDescent="0.2">
      <c r="A35" s="136"/>
      <c r="B35" s="136"/>
      <c r="C35" s="136"/>
      <c r="D35" s="136"/>
      <c r="E35" s="136"/>
      <c r="F35" s="136"/>
      <c r="G35" s="136"/>
      <c r="H35" s="136"/>
      <c r="I35" s="136"/>
      <c r="J35" s="136"/>
      <c r="K35" s="136"/>
      <c r="L35" s="136"/>
      <c r="M35" s="136"/>
      <c r="N35" s="136"/>
      <c r="O35" s="136"/>
      <c r="P35" s="136"/>
    </row>
    <row r="36" spans="1:16" x14ac:dyDescent="0.2">
      <c r="A36" s="136"/>
      <c r="B36" s="136"/>
      <c r="C36" s="136"/>
      <c r="D36" s="136"/>
      <c r="E36" s="136"/>
      <c r="F36" s="136"/>
      <c r="G36" s="136"/>
      <c r="H36" s="136"/>
      <c r="I36" s="136"/>
      <c r="J36" s="136"/>
      <c r="K36" s="136"/>
      <c r="L36" s="136"/>
      <c r="M36" s="136"/>
      <c r="N36" s="136"/>
      <c r="O36" s="136"/>
      <c r="P36" s="136"/>
    </row>
    <row r="37" spans="1:16" ht="3" customHeight="1" x14ac:dyDescent="0.2">
      <c r="A37" s="136"/>
      <c r="B37" s="136"/>
      <c r="C37" s="136"/>
      <c r="D37" s="136"/>
      <c r="E37" s="136"/>
      <c r="F37" s="136"/>
      <c r="G37" s="136"/>
      <c r="H37" s="136"/>
      <c r="I37" s="136"/>
      <c r="J37" s="136"/>
      <c r="K37" s="136"/>
      <c r="L37" s="136"/>
      <c r="M37" s="136"/>
      <c r="N37" s="136"/>
      <c r="O37" s="136"/>
      <c r="P37" s="136"/>
    </row>
    <row r="38" spans="1:16" ht="14.25" hidden="1" customHeight="1" x14ac:dyDescent="0.2">
      <c r="A38" s="136"/>
      <c r="B38" s="136"/>
      <c r="C38" s="136"/>
      <c r="D38" s="136"/>
      <c r="E38" s="136"/>
      <c r="F38" s="136"/>
      <c r="G38" s="136"/>
      <c r="H38" s="136"/>
      <c r="I38" s="136"/>
      <c r="J38" s="136"/>
      <c r="K38" s="136"/>
      <c r="L38" s="136"/>
      <c r="M38" s="136"/>
      <c r="N38" s="136"/>
      <c r="O38" s="136"/>
      <c r="P38" s="136"/>
    </row>
    <row r="39" spans="1:16" x14ac:dyDescent="0.2">
      <c r="A39" s="143"/>
      <c r="B39" s="143"/>
      <c r="C39" s="143"/>
      <c r="D39" s="143"/>
      <c r="E39" s="143"/>
      <c r="F39" s="143"/>
      <c r="G39" s="143"/>
      <c r="H39" s="143"/>
      <c r="I39" s="143"/>
      <c r="J39" s="143"/>
      <c r="K39" s="143"/>
      <c r="L39" s="143"/>
      <c r="M39" s="143"/>
      <c r="N39" s="143"/>
      <c r="O39" s="143"/>
      <c r="P39" s="143"/>
    </row>
    <row r="40" spans="1:16" x14ac:dyDescent="0.2">
      <c r="A40" s="14" t="s">
        <v>131</v>
      </c>
      <c r="B40" s="127" t="s">
        <v>250</v>
      </c>
      <c r="C40" s="128"/>
      <c r="D40" s="128"/>
      <c r="E40" s="128"/>
      <c r="F40" s="128"/>
      <c r="G40" s="128"/>
      <c r="H40" s="128"/>
      <c r="I40" s="128"/>
      <c r="J40" s="128"/>
      <c r="K40" s="128"/>
      <c r="L40" s="128"/>
      <c r="M40" s="128"/>
      <c r="N40" s="128"/>
      <c r="O40" s="128"/>
      <c r="P40" s="129"/>
    </row>
    <row r="41" spans="1:16" x14ac:dyDescent="0.2">
      <c r="A41" t="s">
        <v>123</v>
      </c>
      <c r="B41" s="127" t="s">
        <v>278</v>
      </c>
      <c r="C41" s="128"/>
      <c r="D41" s="128"/>
      <c r="E41" s="128"/>
      <c r="F41" s="128"/>
      <c r="G41" s="128"/>
      <c r="H41" s="128"/>
      <c r="I41" s="128"/>
      <c r="J41" s="128"/>
      <c r="K41" s="128"/>
      <c r="L41" s="128"/>
      <c r="M41" s="128"/>
      <c r="N41" s="128"/>
      <c r="O41" s="128"/>
      <c r="P41" s="129"/>
    </row>
    <row r="42" spans="1:16" x14ac:dyDescent="0.2">
      <c r="A42" t="s">
        <v>124</v>
      </c>
      <c r="B42" s="127" t="s">
        <v>0</v>
      </c>
      <c r="C42" s="128"/>
      <c r="D42" s="128"/>
      <c r="E42" s="128"/>
      <c r="F42" s="128"/>
      <c r="G42" s="128"/>
      <c r="H42" s="128"/>
      <c r="I42" s="128"/>
      <c r="J42" s="128"/>
      <c r="K42" s="128"/>
      <c r="L42" s="128"/>
      <c r="M42" s="128"/>
      <c r="N42" s="128"/>
      <c r="O42" s="128"/>
      <c r="P42" s="129"/>
    </row>
    <row r="43" spans="1:16" x14ac:dyDescent="0.2">
      <c r="A43" t="s">
        <v>126</v>
      </c>
      <c r="B43" s="127" t="s">
        <v>0</v>
      </c>
      <c r="C43" s="128"/>
      <c r="D43" s="128"/>
      <c r="E43" s="128"/>
      <c r="F43" s="128"/>
      <c r="G43" s="128"/>
      <c r="H43" s="128"/>
      <c r="I43" s="128"/>
      <c r="J43" s="128"/>
      <c r="K43" s="128"/>
      <c r="L43" s="128"/>
      <c r="M43" s="128"/>
      <c r="N43" s="128"/>
      <c r="O43" s="128"/>
      <c r="P43" s="129"/>
    </row>
    <row r="44" spans="1:16" x14ac:dyDescent="0.2">
      <c r="A44" t="s">
        <v>125</v>
      </c>
      <c r="B44" s="53" t="s">
        <v>0</v>
      </c>
      <c r="C44" s="54"/>
      <c r="D44" s="54"/>
      <c r="E44" s="54"/>
      <c r="F44" s="54"/>
      <c r="G44" s="54"/>
      <c r="H44" s="54"/>
      <c r="I44" s="54"/>
      <c r="J44" s="54"/>
      <c r="K44" s="54"/>
      <c r="L44" s="54"/>
      <c r="M44" s="54"/>
      <c r="N44" s="54"/>
      <c r="O44" s="54"/>
      <c r="P44" s="55"/>
    </row>
  </sheetData>
  <dataConsolidate/>
  <mergeCells count="15">
    <mergeCell ref="R14:AF14"/>
    <mergeCell ref="R24:AF24"/>
    <mergeCell ref="A22:P39"/>
    <mergeCell ref="R26:AF26"/>
    <mergeCell ref="R25:AF25"/>
    <mergeCell ref="R27:AF27"/>
    <mergeCell ref="R28:AF28"/>
    <mergeCell ref="R29:AF29"/>
    <mergeCell ref="B43:P43"/>
    <mergeCell ref="B40:P40"/>
    <mergeCell ref="B42:P42"/>
    <mergeCell ref="B10:N10"/>
    <mergeCell ref="A11:P21"/>
    <mergeCell ref="O10:P10"/>
    <mergeCell ref="B41:P41"/>
  </mergeCells>
  <phoneticPr fontId="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0797" r:id="rId4" name="CbHT16K33">
          <controlPr autoLine="0" linkedCell="B6" r:id="rId5">
            <anchor moveWithCells="1">
              <from>
                <xdr:col>1</xdr:col>
                <xdr:colOff>390525</xdr:colOff>
                <xdr:row>11</xdr:row>
                <xdr:rowOff>133350</xdr:rowOff>
              </from>
              <to>
                <xdr:col>2</xdr:col>
                <xdr:colOff>542925</xdr:colOff>
                <xdr:row>13</xdr:row>
                <xdr:rowOff>28575</xdr:rowOff>
              </to>
            </anchor>
          </controlPr>
        </control>
      </mc:Choice>
      <mc:Fallback>
        <control shapeId="90797" r:id="rId4" name="CbHT16K33"/>
      </mc:Fallback>
    </mc:AlternateContent>
    <mc:AlternateContent xmlns:mc="http://schemas.openxmlformats.org/markup-compatibility/2006">
      <mc:Choice Requires="x14">
        <control shapeId="90796" r:id="rId6" name="btnPlayB10">
          <controlPr autoLine="0" r:id="rId7">
            <anchor moveWithCells="1">
              <from>
                <xdr:col>14</xdr:col>
                <xdr:colOff>114300</xdr:colOff>
                <xdr:row>9</xdr:row>
                <xdr:rowOff>57150</xdr:rowOff>
              </from>
              <to>
                <xdr:col>15</xdr:col>
                <xdr:colOff>666750</xdr:colOff>
                <xdr:row>9</xdr:row>
                <xdr:rowOff>466725</xdr:rowOff>
              </to>
            </anchor>
          </controlPr>
        </control>
      </mc:Choice>
      <mc:Fallback>
        <control shapeId="90796" r:id="rId6" name="btnPlayB10"/>
      </mc:Fallback>
    </mc:AlternateContent>
    <mc:AlternateContent xmlns:mc="http://schemas.openxmlformats.org/markup-compatibility/2006">
      <mc:Choice Requires="x14">
        <control shapeId="90795" r:id="rId8" name="btnStopPlaying">
          <controlPr autoLine="0" r:id="rId9">
            <anchor moveWithCells="1">
              <from>
                <xdr:col>14</xdr:col>
                <xdr:colOff>209550</xdr:colOff>
                <xdr:row>33</xdr:row>
                <xdr:rowOff>0</xdr:rowOff>
              </from>
              <to>
                <xdr:col>15</xdr:col>
                <xdr:colOff>400050</xdr:colOff>
                <xdr:row>38</xdr:row>
                <xdr:rowOff>76200</xdr:rowOff>
              </to>
            </anchor>
          </controlPr>
        </control>
      </mc:Choice>
      <mc:Fallback>
        <control shapeId="90795" r:id="rId8" name="btnStopPlaying"/>
      </mc:Fallback>
    </mc:AlternateContent>
    <mc:AlternateContent xmlns:mc="http://schemas.openxmlformats.org/markup-compatibility/2006">
      <mc:Choice Requires="x14">
        <control shapeId="90794" r:id="rId10" name="btnPlayBuffer">
          <controlPr autoLine="0" r:id="rId11">
            <anchor moveWithCells="1">
              <from>
                <xdr:col>14</xdr:col>
                <xdr:colOff>209550</xdr:colOff>
                <xdr:row>29</xdr:row>
                <xdr:rowOff>85725</xdr:rowOff>
              </from>
              <to>
                <xdr:col>15</xdr:col>
                <xdr:colOff>400050</xdr:colOff>
                <xdr:row>32</xdr:row>
                <xdr:rowOff>76200</xdr:rowOff>
              </to>
            </anchor>
          </controlPr>
        </control>
      </mc:Choice>
      <mc:Fallback>
        <control shapeId="90794" r:id="rId10" name="btnPlayBuffer"/>
      </mc:Fallback>
    </mc:AlternateContent>
    <mc:AlternateContent xmlns:mc="http://schemas.openxmlformats.org/markup-compatibility/2006">
      <mc:Choice Requires="x14">
        <control shapeId="90793" r:id="rId12" name="BtnSendToDalek">
          <controlPr autoLine="0" r:id="rId13">
            <anchor moveWithCells="1">
              <from>
                <xdr:col>14</xdr:col>
                <xdr:colOff>209550</xdr:colOff>
                <xdr:row>25</xdr:row>
                <xdr:rowOff>171450</xdr:rowOff>
              </from>
              <to>
                <xdr:col>15</xdr:col>
                <xdr:colOff>400050</xdr:colOff>
                <xdr:row>28</xdr:row>
                <xdr:rowOff>161925</xdr:rowOff>
              </to>
            </anchor>
          </controlPr>
        </control>
      </mc:Choice>
      <mc:Fallback>
        <control shapeId="90793" r:id="rId12" name="BtnSendToDalek"/>
      </mc:Fallback>
    </mc:AlternateContent>
    <mc:AlternateContent xmlns:mc="http://schemas.openxmlformats.org/markup-compatibility/2006">
      <mc:Choice Requires="x14">
        <control shapeId="90792" r:id="rId14" name="btnEraseLed">
          <controlPr autoLine="0" r:id="rId15">
            <anchor moveWithCells="1">
              <from>
                <xdr:col>14</xdr:col>
                <xdr:colOff>209550</xdr:colOff>
                <xdr:row>22</xdr:row>
                <xdr:rowOff>114300</xdr:rowOff>
              </from>
              <to>
                <xdr:col>15</xdr:col>
                <xdr:colOff>400050</xdr:colOff>
                <xdr:row>25</xdr:row>
                <xdr:rowOff>104775</xdr:rowOff>
              </to>
            </anchor>
          </controlPr>
        </control>
      </mc:Choice>
      <mc:Fallback>
        <control shapeId="90792" r:id="rId14" name="btnEraseLed"/>
      </mc:Fallback>
    </mc:AlternateContent>
    <mc:AlternateContent xmlns:mc="http://schemas.openxmlformats.org/markup-compatibility/2006">
      <mc:Choice Requires="x14">
        <control shapeId="1209" r:id="rId16" name="BtnLeft">
          <controlPr autoLine="0" r:id="rId17">
            <anchor moveWithCells="1">
              <from>
                <xdr:col>6</xdr:col>
                <xdr:colOff>266700</xdr:colOff>
                <xdr:row>14</xdr:row>
                <xdr:rowOff>85725</xdr:rowOff>
              </from>
              <to>
                <xdr:col>7</xdr:col>
                <xdr:colOff>57150</xdr:colOff>
                <xdr:row>16</xdr:row>
                <xdr:rowOff>28575</xdr:rowOff>
              </to>
            </anchor>
          </controlPr>
        </control>
      </mc:Choice>
      <mc:Fallback>
        <control shapeId="1209" r:id="rId16" name="BtnLeft"/>
      </mc:Fallback>
    </mc:AlternateContent>
    <mc:AlternateContent xmlns:mc="http://schemas.openxmlformats.org/markup-compatibility/2006">
      <mc:Choice Requires="x14">
        <control shapeId="1210" r:id="rId18" name="BtnRight">
          <controlPr autoLine="0" r:id="rId19">
            <anchor moveWithCells="1">
              <from>
                <xdr:col>7</xdr:col>
                <xdr:colOff>95250</xdr:colOff>
                <xdr:row>14</xdr:row>
                <xdr:rowOff>85725</xdr:rowOff>
              </from>
              <to>
                <xdr:col>7</xdr:col>
                <xdr:colOff>657225</xdr:colOff>
                <xdr:row>16</xdr:row>
                <xdr:rowOff>28575</xdr:rowOff>
              </to>
            </anchor>
          </controlPr>
        </control>
      </mc:Choice>
      <mc:Fallback>
        <control shapeId="1210" r:id="rId18" name="BtnRight"/>
      </mc:Fallback>
    </mc:AlternateContent>
    <mc:AlternateContent xmlns:mc="http://schemas.openxmlformats.org/markup-compatibility/2006">
      <mc:Choice Requires="x14">
        <control shapeId="1211" r:id="rId20" name="BtnDown">
          <controlPr autoLine="0" r:id="rId21">
            <anchor moveWithCells="1">
              <from>
                <xdr:col>6</xdr:col>
                <xdr:colOff>266700</xdr:colOff>
                <xdr:row>16</xdr:row>
                <xdr:rowOff>38100</xdr:rowOff>
              </from>
              <to>
                <xdr:col>7</xdr:col>
                <xdr:colOff>647700</xdr:colOff>
                <xdr:row>17</xdr:row>
                <xdr:rowOff>161925</xdr:rowOff>
              </to>
            </anchor>
          </controlPr>
        </control>
      </mc:Choice>
      <mc:Fallback>
        <control shapeId="1211" r:id="rId20" name="BtnDown"/>
      </mc:Fallback>
    </mc:AlternateContent>
    <mc:AlternateContent xmlns:mc="http://schemas.openxmlformats.org/markup-compatibility/2006">
      <mc:Choice Requires="x14">
        <control shapeId="1212" r:id="rId22" name="BtnUp">
          <controlPr autoLine="0" r:id="rId23">
            <anchor moveWithCells="1">
              <from>
                <xdr:col>6</xdr:col>
                <xdr:colOff>276225</xdr:colOff>
                <xdr:row>12</xdr:row>
                <xdr:rowOff>123825</xdr:rowOff>
              </from>
              <to>
                <xdr:col>7</xdr:col>
                <xdr:colOff>647700</xdr:colOff>
                <xdr:row>14</xdr:row>
                <xdr:rowOff>66675</xdr:rowOff>
              </to>
            </anchor>
          </controlPr>
        </control>
      </mc:Choice>
      <mc:Fallback>
        <control shapeId="1212" r:id="rId22" name="BtnUp"/>
      </mc:Fallback>
    </mc:AlternateContent>
    <mc:AlternateContent xmlns:mc="http://schemas.openxmlformats.org/markup-compatibility/2006">
      <mc:Choice Requires="x14">
        <control shapeId="1213" r:id="rId24" name="BtnFill">
          <controlPr autoLine="0" r:id="rId25">
            <anchor moveWithCells="1">
              <from>
                <xdr:col>3</xdr:col>
                <xdr:colOff>133350</xdr:colOff>
                <xdr:row>13</xdr:row>
                <xdr:rowOff>38100</xdr:rowOff>
              </from>
              <to>
                <xdr:col>4</xdr:col>
                <xdr:colOff>133350</xdr:colOff>
                <xdr:row>14</xdr:row>
                <xdr:rowOff>161925</xdr:rowOff>
              </to>
            </anchor>
          </controlPr>
        </control>
      </mc:Choice>
      <mc:Fallback>
        <control shapeId="1213" r:id="rId24" name="BtnFill"/>
      </mc:Fallback>
    </mc:AlternateContent>
    <mc:AlternateContent xmlns:mc="http://schemas.openxmlformats.org/markup-compatibility/2006">
      <mc:Choice Requires="x14">
        <control shapeId="1214" r:id="rId26" name="BtnErase">
          <controlPr autoLine="0" r:id="rId27">
            <anchor moveWithCells="1">
              <from>
                <xdr:col>4</xdr:col>
                <xdr:colOff>276225</xdr:colOff>
                <xdr:row>13</xdr:row>
                <xdr:rowOff>38100</xdr:rowOff>
              </from>
              <to>
                <xdr:col>5</xdr:col>
                <xdr:colOff>257175</xdr:colOff>
                <xdr:row>14</xdr:row>
                <xdr:rowOff>161925</xdr:rowOff>
              </to>
            </anchor>
          </controlPr>
        </control>
      </mc:Choice>
      <mc:Fallback>
        <control shapeId="1214" r:id="rId26" name="BtnErase"/>
      </mc:Fallback>
    </mc:AlternateContent>
    <mc:AlternateContent xmlns:mc="http://schemas.openxmlformats.org/markup-compatibility/2006">
      <mc:Choice Requires="x14">
        <control shapeId="1215" r:id="rId28" name="CbHighRes">
          <controlPr autoLine="0" linkedCell="B4" r:id="rId29">
            <anchor moveWithCells="1">
              <from>
                <xdr:col>1</xdr:col>
                <xdr:colOff>400050</xdr:colOff>
                <xdr:row>10</xdr:row>
                <xdr:rowOff>133350</xdr:rowOff>
              </from>
              <to>
                <xdr:col>2</xdr:col>
                <xdr:colOff>552450</xdr:colOff>
                <xdr:row>12</xdr:row>
                <xdr:rowOff>28575</xdr:rowOff>
              </to>
            </anchor>
          </controlPr>
        </control>
      </mc:Choice>
      <mc:Fallback>
        <control shapeId="1215" r:id="rId28" name="CbHighRes"/>
      </mc:Fallback>
    </mc:AlternateContent>
    <mc:AlternateContent xmlns:mc="http://schemas.openxmlformats.org/markup-compatibility/2006">
      <mc:Choice Requires="x14">
        <control shapeId="1216" r:id="rId30" name="CbFill">
          <controlPr autoLine="0" linkedCell="B3" r:id="rId31">
            <anchor moveWithCells="1">
              <from>
                <xdr:col>8</xdr:col>
                <xdr:colOff>28575</xdr:colOff>
                <xdr:row>14</xdr:row>
                <xdr:rowOff>28575</xdr:rowOff>
              </from>
              <to>
                <xdr:col>8</xdr:col>
                <xdr:colOff>666750</xdr:colOff>
                <xdr:row>15</xdr:row>
                <xdr:rowOff>66675</xdr:rowOff>
              </to>
            </anchor>
          </controlPr>
        </control>
      </mc:Choice>
      <mc:Fallback>
        <control shapeId="1216" r:id="rId30" name="CbFill"/>
      </mc:Fallback>
    </mc:AlternateContent>
    <mc:AlternateContent xmlns:mc="http://schemas.openxmlformats.org/markup-compatibility/2006">
      <mc:Choice Requires="x14">
        <control shapeId="1217" r:id="rId32" name="CbRotate">
          <controlPr autoLine="0" linkedCell="B2" r:id="rId33">
            <anchor moveWithCells="1">
              <from>
                <xdr:col>8</xdr:col>
                <xdr:colOff>38100</xdr:colOff>
                <xdr:row>12</xdr:row>
                <xdr:rowOff>152400</xdr:rowOff>
              </from>
              <to>
                <xdr:col>8</xdr:col>
                <xdr:colOff>676275</xdr:colOff>
                <xdr:row>14</xdr:row>
                <xdr:rowOff>47625</xdr:rowOff>
              </to>
            </anchor>
          </controlPr>
        </control>
      </mc:Choice>
      <mc:Fallback>
        <control shapeId="1217" r:id="rId32" name="CbRotate"/>
      </mc:Fallback>
    </mc:AlternateContent>
    <mc:AlternateContent xmlns:mc="http://schemas.openxmlformats.org/markup-compatibility/2006">
      <mc:Choice Requires="x14">
        <control shapeId="5754" r:id="rId34" name="AllCommands">
          <controlPr defaultSize="0" autoLine="0" r:id="rId35">
            <anchor moveWithCells="1">
              <from>
                <xdr:col>0</xdr:col>
                <xdr:colOff>257175</xdr:colOff>
                <xdr:row>22</xdr:row>
                <xdr:rowOff>114300</xdr:rowOff>
              </from>
              <to>
                <xdr:col>14</xdr:col>
                <xdr:colOff>38100</xdr:colOff>
                <xdr:row>38</xdr:row>
                <xdr:rowOff>95250</xdr:rowOff>
              </to>
            </anchor>
          </controlPr>
        </control>
      </mc:Choice>
      <mc:Fallback>
        <control shapeId="5754" r:id="rId34" name="AllCommands"/>
      </mc:Fallback>
    </mc:AlternateContent>
    <mc:AlternateContent xmlns:mc="http://schemas.openxmlformats.org/markup-compatibility/2006">
      <mc:Choice Requires="x14">
        <control shapeId="5755" r:id="rId36" name="CbAutoAdd">
          <controlPr autoLine="0" linkedCell="B5" r:id="rId37">
            <anchor moveWithCells="1">
              <from>
                <xdr:col>12</xdr:col>
                <xdr:colOff>180975</xdr:colOff>
                <xdr:row>12</xdr:row>
                <xdr:rowOff>142875</xdr:rowOff>
              </from>
              <to>
                <xdr:col>13</xdr:col>
                <xdr:colOff>352425</xdr:colOff>
                <xdr:row>14</xdr:row>
                <xdr:rowOff>38100</xdr:rowOff>
              </to>
            </anchor>
          </controlPr>
        </control>
      </mc:Choice>
      <mc:Fallback>
        <control shapeId="5755" r:id="rId36" name="CbAutoAdd"/>
      </mc:Fallback>
    </mc:AlternateContent>
    <mc:AlternateContent xmlns:mc="http://schemas.openxmlformats.org/markup-compatibility/2006">
      <mc:Choice Requires="x14">
        <control shapeId="5756" r:id="rId38" name="BtnAdd">
          <controlPr autoLine="0" r:id="rId39">
            <anchor moveWithCells="1">
              <from>
                <xdr:col>13</xdr:col>
                <xdr:colOff>342900</xdr:colOff>
                <xdr:row>12</xdr:row>
                <xdr:rowOff>114300</xdr:rowOff>
              </from>
              <to>
                <xdr:col>15</xdr:col>
                <xdr:colOff>142875</xdr:colOff>
                <xdr:row>14</xdr:row>
                <xdr:rowOff>57150</xdr:rowOff>
              </to>
            </anchor>
          </controlPr>
        </control>
      </mc:Choice>
      <mc:Fallback>
        <control shapeId="5756" r:id="rId38" name="BtnAdd"/>
      </mc:Fallback>
    </mc:AlternateContent>
    <mc:AlternateContent xmlns:mc="http://schemas.openxmlformats.org/markup-compatibility/2006">
      <mc:Choice Requires="x14">
        <control shapeId="7174" r:id="rId40" name="BtnEraseCmd">
          <controlPr autoLine="0" r:id="rId41">
            <anchor moveWithCells="1">
              <from>
                <xdr:col>13</xdr:col>
                <xdr:colOff>352425</xdr:colOff>
                <xdr:row>14</xdr:row>
                <xdr:rowOff>133350</xdr:rowOff>
              </from>
              <to>
                <xdr:col>15</xdr:col>
                <xdr:colOff>152400</xdr:colOff>
                <xdr:row>16</xdr:row>
                <xdr:rowOff>76200</xdr:rowOff>
              </to>
            </anchor>
          </controlPr>
        </control>
      </mc:Choice>
      <mc:Fallback>
        <control shapeId="7174" r:id="rId40" name="BtnEraseCmd"/>
      </mc:Fallback>
    </mc:AlternateContent>
    <mc:AlternateContent xmlns:mc="http://schemas.openxmlformats.org/markup-compatibility/2006">
      <mc:Choice Requires="x14">
        <control shapeId="15637" r:id="rId42" name="BtnColumns">
          <controlPr autoLine="0" r:id="rId43">
            <anchor moveWithCells="1">
              <from>
                <xdr:col>9</xdr:col>
                <xdr:colOff>676275</xdr:colOff>
                <xdr:row>15</xdr:row>
                <xdr:rowOff>57150</xdr:rowOff>
              </from>
              <to>
                <xdr:col>11</xdr:col>
                <xdr:colOff>47625</xdr:colOff>
                <xdr:row>17</xdr:row>
                <xdr:rowOff>0</xdr:rowOff>
              </to>
            </anchor>
          </controlPr>
        </control>
      </mc:Choice>
      <mc:Fallback>
        <control shapeId="15637" r:id="rId42" name="BtnColumns"/>
      </mc:Fallback>
    </mc:AlternateContent>
    <mc:AlternateContent xmlns:mc="http://schemas.openxmlformats.org/markup-compatibility/2006">
      <mc:Choice Requires="x14">
        <control shapeId="15639" r:id="rId44" name="ComboColumns">
          <controlPr defaultSize="0" autoLine="0" r:id="rId45">
            <anchor moveWithCells="1">
              <from>
                <xdr:col>9</xdr:col>
                <xdr:colOff>542925</xdr:colOff>
                <xdr:row>12</xdr:row>
                <xdr:rowOff>38100</xdr:rowOff>
              </from>
              <to>
                <xdr:col>11</xdr:col>
                <xdr:colOff>600075</xdr:colOff>
                <xdr:row>13</xdr:row>
                <xdr:rowOff>95250</xdr:rowOff>
              </to>
            </anchor>
          </controlPr>
        </control>
      </mc:Choice>
      <mc:Fallback>
        <control shapeId="15639" r:id="rId44" name="ComboColumns"/>
      </mc:Fallback>
    </mc:AlternateContent>
    <mc:AlternateContent xmlns:mc="http://schemas.openxmlformats.org/markup-compatibility/2006">
      <mc:Choice Requires="x14">
        <control shapeId="17652" r:id="rId46" name="ComboRows">
          <controlPr defaultSize="0" autoLine="0" r:id="rId47">
            <anchor moveWithCells="1">
              <from>
                <xdr:col>9</xdr:col>
                <xdr:colOff>542925</xdr:colOff>
                <xdr:row>13</xdr:row>
                <xdr:rowOff>114300</xdr:rowOff>
              </from>
              <to>
                <xdr:col>11</xdr:col>
                <xdr:colOff>600075</xdr:colOff>
                <xdr:row>14</xdr:row>
                <xdr:rowOff>171450</xdr:rowOff>
              </to>
            </anchor>
          </controlPr>
        </control>
      </mc:Choice>
      <mc:Fallback>
        <control shapeId="17652" r:id="rId46" name="ComboRows"/>
      </mc:Fallback>
    </mc:AlternateContent>
    <mc:AlternateContent xmlns:mc="http://schemas.openxmlformats.org/markup-compatibility/2006">
      <mc:Choice Requires="x14">
        <control shapeId="17653" r:id="rId48" name="BtnRows">
          <controlPr autoLine="0" r:id="rId49">
            <anchor moveWithCells="1">
              <from>
                <xdr:col>9</xdr:col>
                <xdr:colOff>676275</xdr:colOff>
                <xdr:row>17</xdr:row>
                <xdr:rowOff>95250</xdr:rowOff>
              </from>
              <to>
                <xdr:col>11</xdr:col>
                <xdr:colOff>28575</xdr:colOff>
                <xdr:row>19</xdr:row>
                <xdr:rowOff>38100</xdr:rowOff>
              </to>
            </anchor>
          </controlPr>
        </control>
      </mc:Choice>
      <mc:Fallback>
        <control shapeId="17653" r:id="rId48" name="BtnRows"/>
      </mc:Fallback>
    </mc:AlternateContent>
    <mc:AlternateContent xmlns:mc="http://schemas.openxmlformats.org/markup-compatibility/2006">
      <mc:Choice Requires="x14">
        <control shapeId="17654" r:id="rId50" name="BtnColRow">
          <controlPr autoLine="0" r:id="rId51">
            <anchor moveWithCells="1">
              <from>
                <xdr:col>11</xdr:col>
                <xdr:colOff>76200</xdr:colOff>
                <xdr:row>15</xdr:row>
                <xdr:rowOff>57150</xdr:rowOff>
              </from>
              <to>
                <xdr:col>11</xdr:col>
                <xdr:colOff>609600</xdr:colOff>
                <xdr:row>19</xdr:row>
                <xdr:rowOff>38100</xdr:rowOff>
              </to>
            </anchor>
          </controlPr>
        </control>
      </mc:Choice>
      <mc:Fallback>
        <control shapeId="17654" r:id="rId50" name="BtnColRow"/>
      </mc:Fallback>
    </mc:AlternateContent>
    <mc:AlternateContent xmlns:mc="http://schemas.openxmlformats.org/markup-compatibility/2006">
      <mc:Choice Requires="x14">
        <control shapeId="17959" r:id="rId52" name="BtnRowCol">
          <controlPr autoLine="0" r:id="rId53">
            <anchor moveWithCells="1">
              <from>
                <xdr:col>9</xdr:col>
                <xdr:colOff>142875</xdr:colOff>
                <xdr:row>15</xdr:row>
                <xdr:rowOff>57150</xdr:rowOff>
              </from>
              <to>
                <xdr:col>9</xdr:col>
                <xdr:colOff>638175</xdr:colOff>
                <xdr:row>19</xdr:row>
                <xdr:rowOff>38100</xdr:rowOff>
              </to>
            </anchor>
          </controlPr>
        </control>
      </mc:Choice>
      <mc:Fallback>
        <control shapeId="17959" r:id="rId52" name="BtnRowCol"/>
      </mc:Fallback>
    </mc:AlternateContent>
    <mc:AlternateContent xmlns:mc="http://schemas.openxmlformats.org/markup-compatibility/2006">
      <mc:Choice Requires="x14">
        <control shapeId="40263" r:id="rId54" name="FontSelect">
          <controlPr defaultSize="0" autoLine="0" r:id="rId55">
            <anchor moveWithCells="1">
              <from>
                <xdr:col>12</xdr:col>
                <xdr:colOff>180975</xdr:colOff>
                <xdr:row>18</xdr:row>
                <xdr:rowOff>171450</xdr:rowOff>
              </from>
              <to>
                <xdr:col>13</xdr:col>
                <xdr:colOff>247650</xdr:colOff>
                <xdr:row>20</xdr:row>
                <xdr:rowOff>47625</xdr:rowOff>
              </to>
            </anchor>
          </controlPr>
        </control>
      </mc:Choice>
      <mc:Fallback>
        <control shapeId="40263" r:id="rId54" name="FontSelect"/>
      </mc:Fallback>
    </mc:AlternateContent>
    <mc:AlternateContent xmlns:mc="http://schemas.openxmlformats.org/markup-compatibility/2006">
      <mc:Choice Requires="x14">
        <control shapeId="40377" r:id="rId56" name="AddString">
          <controlPr autoLine="0" r:id="rId57">
            <anchor moveWithCells="1">
              <from>
                <xdr:col>14</xdr:col>
                <xdr:colOff>504825</xdr:colOff>
                <xdr:row>18</xdr:row>
                <xdr:rowOff>123825</xdr:rowOff>
              </from>
              <to>
                <xdr:col>15</xdr:col>
                <xdr:colOff>523875</xdr:colOff>
                <xdr:row>20</xdr:row>
                <xdr:rowOff>66675</xdr:rowOff>
              </to>
            </anchor>
          </controlPr>
        </control>
      </mc:Choice>
      <mc:Fallback>
        <control shapeId="40377" r:id="rId56" name="AddString"/>
      </mc:Fallback>
    </mc:AlternateContent>
    <mc:AlternateContent xmlns:mc="http://schemas.openxmlformats.org/markup-compatibility/2006">
      <mc:Choice Requires="x14">
        <control shapeId="50205" r:id="rId58" name="Effect">
          <controlPr defaultSize="0" autoLine="0" r:id="rId59">
            <anchor moveWithCells="1">
              <from>
                <xdr:col>13</xdr:col>
                <xdr:colOff>323850</xdr:colOff>
                <xdr:row>18</xdr:row>
                <xdr:rowOff>161925</xdr:rowOff>
              </from>
              <to>
                <xdr:col>14</xdr:col>
                <xdr:colOff>390525</xdr:colOff>
                <xdr:row>20</xdr:row>
                <xdr:rowOff>38100</xdr:rowOff>
              </to>
            </anchor>
          </controlPr>
        </control>
      </mc:Choice>
      <mc:Fallback>
        <control shapeId="50205" r:id="rId58" name="Effect"/>
      </mc:Fallback>
    </mc:AlternateContent>
    <mc:AlternateContent xmlns:mc="http://schemas.openxmlformats.org/markup-compatibility/2006">
      <mc:Choice Requires="x14">
        <control shapeId="57427" r:id="rId60" name="viewLEDS">
          <controlPr defaultSize="0" autoLine="0" r:id="rId61">
            <anchor moveWithCells="1">
              <from>
                <xdr:col>14</xdr:col>
                <xdr:colOff>657225</xdr:colOff>
                <xdr:row>0</xdr:row>
                <xdr:rowOff>133350</xdr:rowOff>
              </from>
              <to>
                <xdr:col>15</xdr:col>
                <xdr:colOff>723900</xdr:colOff>
                <xdr:row>2</xdr:row>
                <xdr:rowOff>9525</xdr:rowOff>
              </to>
            </anchor>
          </controlPr>
        </control>
      </mc:Choice>
      <mc:Fallback>
        <control shapeId="57427" r:id="rId60" name="viewLEDS"/>
      </mc:Fallback>
    </mc:AlternateContent>
    <mc:AlternateContent xmlns:mc="http://schemas.openxmlformats.org/markup-compatibility/2006">
      <mc:Choice Requires="x14">
        <control shapeId="60218" r:id="rId62" name="BtnAllBufs">
          <controlPr autoLine="0" r:id="rId63">
            <anchor moveWithCells="1">
              <from>
                <xdr:col>6</xdr:col>
                <xdr:colOff>276225</xdr:colOff>
                <xdr:row>18</xdr:row>
                <xdr:rowOff>66675</xdr:rowOff>
              </from>
              <to>
                <xdr:col>8</xdr:col>
                <xdr:colOff>571500</xdr:colOff>
                <xdr:row>20</xdr:row>
                <xdr:rowOff>9525</xdr:rowOff>
              </to>
            </anchor>
          </controlPr>
        </control>
      </mc:Choice>
      <mc:Fallback>
        <control shapeId="60218" r:id="rId62" name="BtnAllBufs"/>
      </mc:Fallback>
    </mc:AlternateContent>
    <mc:AlternateContent xmlns:mc="http://schemas.openxmlformats.org/markup-compatibility/2006">
      <mc:Choice Requires="x14">
        <control shapeId="48317" r:id="rId64" name="Label 43197">
          <controlPr defaultSize="0" autoFill="0" autoLine="0" autoPict="0">
            <anchor moveWithCells="1" sizeWithCells="1">
              <from>
                <xdr:col>12</xdr:col>
                <xdr:colOff>238125</xdr:colOff>
                <xdr:row>17</xdr:row>
                <xdr:rowOff>9525</xdr:rowOff>
              </from>
              <to>
                <xdr:col>15</xdr:col>
                <xdr:colOff>704850</xdr:colOff>
                <xdr:row>18</xdr:row>
                <xdr:rowOff>66675</xdr:rowOff>
              </to>
            </anchor>
          </controlPr>
        </control>
      </mc:Choice>
    </mc:AlternateContent>
    <mc:AlternateContent xmlns:mc="http://schemas.openxmlformats.org/markup-compatibility/2006">
      <mc:Choice Requires="x14">
        <control shapeId="90785" r:id="rId65" name="Label 81569">
          <controlPr defaultSize="0" autoFill="0" autoLine="0" autoPict="0" macro="[0]!About">
            <anchor moveWithCells="1" sizeWithCells="1">
              <from>
                <xdr:col>15</xdr:col>
                <xdr:colOff>19050</xdr:colOff>
                <xdr:row>6</xdr:row>
                <xdr:rowOff>114300</xdr:rowOff>
              </from>
              <to>
                <xdr:col>15</xdr:col>
                <xdr:colOff>723900</xdr:colOff>
                <xdr:row>8</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7CBA-F2F5-49B5-AC09-367B1B1BF0BE}">
  <sheetPr codeName="Sheet9"/>
  <dimension ref="B1:S38"/>
  <sheetViews>
    <sheetView workbookViewId="0">
      <selection activeCell="I8" sqref="I8:J8"/>
    </sheetView>
  </sheetViews>
  <sheetFormatPr defaultRowHeight="14.25" x14ac:dyDescent="0.2"/>
  <cols>
    <col min="2" max="2" width="15.125" bestFit="1" customWidth="1"/>
    <col min="3" max="3" width="18.625" bestFit="1" customWidth="1"/>
    <col min="4" max="4" width="5.625" customWidth="1"/>
    <col min="6" max="6" width="16.5" customWidth="1"/>
    <col min="7" max="7" width="18.375" customWidth="1"/>
    <col min="8" max="8" width="25.875" customWidth="1"/>
    <col min="9" max="9" width="21.75" customWidth="1"/>
    <col min="10" max="10" width="18.125" customWidth="1"/>
    <col min="11" max="11" width="18.5" customWidth="1"/>
    <col min="12" max="12" width="17.375" customWidth="1"/>
    <col min="13" max="13" width="20.5" hidden="1" customWidth="1"/>
    <col min="14" max="19" width="9" hidden="1" customWidth="1"/>
  </cols>
  <sheetData>
    <row r="1" spans="2:14" ht="21" customHeight="1" thickBot="1" x14ac:dyDescent="0.25"/>
    <row r="2" spans="2:14" ht="34.5" customHeight="1" thickBot="1" x14ac:dyDescent="0.25">
      <c r="B2" s="76" t="s">
        <v>251</v>
      </c>
      <c r="C2" s="73"/>
      <c r="D2" s="73"/>
      <c r="E2" s="74"/>
      <c r="I2" s="96"/>
      <c r="J2" s="100" t="s">
        <v>216</v>
      </c>
      <c r="K2" s="100" t="s">
        <v>217</v>
      </c>
      <c r="L2" s="101" t="s">
        <v>254</v>
      </c>
      <c r="M2" s="23" t="s">
        <v>17</v>
      </c>
      <c r="N2" s="80" t="s">
        <v>256</v>
      </c>
    </row>
    <row r="3" spans="2:14" ht="34.5" customHeight="1" x14ac:dyDescent="0.2">
      <c r="B3" s="96"/>
      <c r="C3" s="57"/>
      <c r="D3" s="57"/>
      <c r="E3" s="58"/>
      <c r="I3" s="102" t="s">
        <v>255</v>
      </c>
      <c r="J3" s="97"/>
      <c r="K3" s="97"/>
      <c r="L3" s="98"/>
      <c r="M3" s="23" t="s">
        <v>15</v>
      </c>
      <c r="N3" s="80" t="s">
        <v>237</v>
      </c>
    </row>
    <row r="4" spans="2:14" ht="34.5" customHeight="1" thickBot="1" x14ac:dyDescent="0.25">
      <c r="B4" s="59"/>
      <c r="C4" s="60"/>
      <c r="D4" s="60"/>
      <c r="E4" s="61"/>
      <c r="I4" s="103" t="s">
        <v>14</v>
      </c>
      <c r="J4" s="99"/>
      <c r="K4" s="99"/>
      <c r="L4" s="126">
        <v>0</v>
      </c>
      <c r="M4" s="23" t="s">
        <v>36</v>
      </c>
      <c r="N4" s="80" t="s">
        <v>218</v>
      </c>
    </row>
    <row r="5" spans="2:14" ht="36.75" customHeight="1" thickBot="1" x14ac:dyDescent="0.25">
      <c r="B5" s="62"/>
      <c r="C5" s="63"/>
      <c r="D5" s="63"/>
      <c r="E5" s="64"/>
      <c r="F5" s="77"/>
      <c r="M5" s="23" t="s">
        <v>22</v>
      </c>
      <c r="N5" s="80" t="s">
        <v>263</v>
      </c>
    </row>
    <row r="6" spans="2:14" ht="33" customHeight="1" thickBot="1" x14ac:dyDescent="0.25">
      <c r="B6" s="76" t="s">
        <v>252</v>
      </c>
      <c r="C6" s="73"/>
      <c r="D6" s="73"/>
      <c r="E6" s="73"/>
      <c r="F6" s="74"/>
      <c r="H6" s="75"/>
      <c r="I6" s="73"/>
      <c r="J6" s="79" t="s">
        <v>253</v>
      </c>
      <c r="M6" s="23" t="s">
        <v>27</v>
      </c>
      <c r="N6" s="80" t="s">
        <v>257</v>
      </c>
    </row>
    <row r="7" spans="2:14" ht="19.5" customHeight="1" thickBot="1" x14ac:dyDescent="0.25">
      <c r="F7" s="77"/>
      <c r="M7" s="23" t="s">
        <v>33</v>
      </c>
      <c r="N7" s="80" t="s">
        <v>258</v>
      </c>
    </row>
    <row r="8" spans="2:14" ht="19.5" customHeight="1" thickBot="1" x14ac:dyDescent="0.25">
      <c r="B8" s="83" t="s">
        <v>265</v>
      </c>
      <c r="C8" s="84"/>
      <c r="D8" s="85"/>
      <c r="E8" s="94"/>
      <c r="F8" s="77"/>
      <c r="G8" s="82" t="s">
        <v>275</v>
      </c>
      <c r="I8" s="144" t="s">
        <v>274</v>
      </c>
      <c r="J8" s="145"/>
      <c r="M8" s="23" t="s">
        <v>29</v>
      </c>
      <c r="N8" s="80" t="s">
        <v>259</v>
      </c>
    </row>
    <row r="9" spans="2:14" ht="15.75" customHeight="1" thickBot="1" x14ac:dyDescent="0.25">
      <c r="B9" s="86" t="s">
        <v>213</v>
      </c>
      <c r="C9" s="87">
        <v>100</v>
      </c>
      <c r="D9" s="95" t="s">
        <v>214</v>
      </c>
      <c r="E9" s="94"/>
    </row>
    <row r="10" spans="2:14" ht="20.25" x14ac:dyDescent="0.2">
      <c r="B10" s="89" t="s">
        <v>264</v>
      </c>
      <c r="C10" s="90"/>
      <c r="D10" s="91"/>
      <c r="E10" s="94"/>
      <c r="M10">
        <v>1</v>
      </c>
      <c r="N10" t="s">
        <v>260</v>
      </c>
    </row>
    <row r="11" spans="2:14" x14ac:dyDescent="0.2">
      <c r="B11" s="92" t="s">
        <v>213</v>
      </c>
      <c r="C11" s="90">
        <v>500</v>
      </c>
      <c r="D11" s="91" t="s">
        <v>214</v>
      </c>
      <c r="E11" s="94"/>
      <c r="M11">
        <v>2</v>
      </c>
      <c r="N11" t="s">
        <v>243</v>
      </c>
    </row>
    <row r="12" spans="2:14" x14ac:dyDescent="0.2">
      <c r="B12" s="92" t="s">
        <v>243</v>
      </c>
      <c r="C12" s="90">
        <v>250</v>
      </c>
      <c r="D12" s="91" t="s">
        <v>214</v>
      </c>
      <c r="E12" s="94"/>
      <c r="M12">
        <v>3</v>
      </c>
      <c r="N12" t="s">
        <v>244</v>
      </c>
    </row>
    <row r="13" spans="2:14" x14ac:dyDescent="0.2">
      <c r="B13" s="92" t="s">
        <v>244</v>
      </c>
      <c r="C13" s="90">
        <v>50</v>
      </c>
      <c r="D13" s="91" t="s">
        <v>214</v>
      </c>
      <c r="E13" s="94"/>
      <c r="M13">
        <v>4</v>
      </c>
      <c r="N13" t="s">
        <v>215</v>
      </c>
    </row>
    <row r="14" spans="2:14" ht="20.25" customHeight="1" thickBot="1" x14ac:dyDescent="0.25">
      <c r="B14" s="86" t="s">
        <v>215</v>
      </c>
      <c r="C14" s="93">
        <v>10</v>
      </c>
      <c r="D14" s="88" t="s">
        <v>214</v>
      </c>
      <c r="E14" s="94"/>
      <c r="M14">
        <v>5</v>
      </c>
      <c r="N14" t="s">
        <v>261</v>
      </c>
    </row>
    <row r="15" spans="2:14" ht="20.25" customHeight="1" thickBot="1" x14ac:dyDescent="0.25">
      <c r="H15" s="21"/>
      <c r="M15">
        <v>6</v>
      </c>
      <c r="N15" t="s">
        <v>262</v>
      </c>
    </row>
    <row r="16" spans="2:14" ht="20.25" customHeight="1" x14ac:dyDescent="0.2">
      <c r="B16" s="146" t="s">
        <v>219</v>
      </c>
      <c r="C16" s="147"/>
      <c r="H16" s="21"/>
    </row>
    <row r="17" spans="2:19" ht="20.25" customHeight="1" x14ac:dyDescent="0.2">
      <c r="B17" s="69" t="s">
        <v>220</v>
      </c>
      <c r="C17" s="68">
        <v>5</v>
      </c>
      <c r="H17" s="21"/>
      <c r="M17">
        <v>1</v>
      </c>
      <c r="N17" t="s">
        <v>30</v>
      </c>
      <c r="O17" t="s">
        <v>29</v>
      </c>
    </row>
    <row r="18" spans="2:19" ht="20.25" customHeight="1" x14ac:dyDescent="0.2">
      <c r="B18" s="69" t="s">
        <v>221</v>
      </c>
      <c r="C18" s="68">
        <v>0</v>
      </c>
      <c r="H18" s="21"/>
      <c r="M18">
        <v>2</v>
      </c>
      <c r="N18" t="s">
        <v>16</v>
      </c>
      <c r="O18" t="s">
        <v>29</v>
      </c>
    </row>
    <row r="19" spans="2:19" ht="20.25" customHeight="1" x14ac:dyDescent="0.2">
      <c r="B19" s="69" t="s">
        <v>222</v>
      </c>
      <c r="C19" s="68">
        <v>7</v>
      </c>
      <c r="M19">
        <v>3</v>
      </c>
      <c r="N19" t="s">
        <v>20</v>
      </c>
      <c r="O19" t="s">
        <v>29</v>
      </c>
    </row>
    <row r="20" spans="2:19" ht="20.25" customHeight="1" thickBot="1" x14ac:dyDescent="0.25">
      <c r="B20" s="70" t="s">
        <v>270</v>
      </c>
      <c r="C20" s="71" t="s">
        <v>223</v>
      </c>
      <c r="F20" s="21"/>
      <c r="G20" s="21"/>
      <c r="M20">
        <v>4</v>
      </c>
      <c r="N20" t="s">
        <v>30</v>
      </c>
      <c r="O20" t="s">
        <v>34</v>
      </c>
    </row>
    <row r="21" spans="2:19" ht="20.25" customHeight="1" thickBot="1" x14ac:dyDescent="0.25">
      <c r="B21" s="70" t="s">
        <v>271</v>
      </c>
      <c r="C21" s="71" t="s">
        <v>209</v>
      </c>
      <c r="F21" s="21"/>
      <c r="G21" s="21"/>
      <c r="M21">
        <v>5</v>
      </c>
      <c r="N21" t="s">
        <v>16</v>
      </c>
      <c r="O21" t="s">
        <v>34</v>
      </c>
    </row>
    <row r="22" spans="2:19" ht="20.25" customHeight="1" x14ac:dyDescent="0.2">
      <c r="M22">
        <v>6</v>
      </c>
      <c r="N22" t="s">
        <v>20</v>
      </c>
      <c r="O22" t="s">
        <v>34</v>
      </c>
    </row>
    <row r="23" spans="2:19" ht="20.25" customHeight="1" x14ac:dyDescent="0.2">
      <c r="M23" t="s">
        <v>216</v>
      </c>
      <c r="N23" s="78" t="s">
        <v>17</v>
      </c>
      <c r="O23">
        <v>6</v>
      </c>
      <c r="P23" s="81">
        <f>IF(Leye="C",LeyeCol,Leye)</f>
        <v>6</v>
      </c>
      <c r="Q23">
        <v>2</v>
      </c>
      <c r="R23" s="81" t="str">
        <f>VLOOKUP(LeyePat,SelectBlinkStrobe,2)</f>
        <v>B</v>
      </c>
      <c r="S23" s="81" t="str">
        <f>VLOOKUP(LeyePat,SelectBlinkStrobe,3)</f>
        <v>N</v>
      </c>
    </row>
    <row r="24" spans="2:19" ht="20.25" customHeight="1" x14ac:dyDescent="0.2">
      <c r="M24" t="s">
        <v>217</v>
      </c>
      <c r="N24" s="78" t="s">
        <v>17</v>
      </c>
      <c r="O24">
        <v>6</v>
      </c>
      <c r="P24" s="81">
        <f>IF(Nose="C",NoseCol,Nose)</f>
        <v>6</v>
      </c>
      <c r="Q24">
        <v>2</v>
      </c>
      <c r="R24" s="81" t="str">
        <f>VLOOKUP(NosePat,SelectBlinkStrobe,2)</f>
        <v>B</v>
      </c>
      <c r="S24" s="81" t="str">
        <f>VLOOKUP(NosePat,SelectBlinkStrobe,3)</f>
        <v>N</v>
      </c>
    </row>
    <row r="25" spans="2:19" ht="20.25" customHeight="1" x14ac:dyDescent="0.2">
      <c r="M25" t="s">
        <v>254</v>
      </c>
      <c r="N25" s="78" t="s">
        <v>17</v>
      </c>
      <c r="O25">
        <v>6</v>
      </c>
      <c r="P25" s="81">
        <f>IF(Reye="C",ReyeCol,Reye)</f>
        <v>6</v>
      </c>
      <c r="Q25">
        <v>5</v>
      </c>
      <c r="R25" s="81" t="str">
        <f>VLOOKUP(ReyePat,SelectBlinkStrobe,2)</f>
        <v>B</v>
      </c>
      <c r="S25" s="81" t="str">
        <f>VLOOKUP(ReyePat,SelectBlinkStrobe,3)</f>
        <v>S</v>
      </c>
    </row>
    <row r="26" spans="2:19" ht="20.25" customHeight="1" x14ac:dyDescent="0.2"/>
    <row r="27" spans="2:19" ht="20.25" customHeight="1" x14ac:dyDescent="0.2">
      <c r="M27" t="s">
        <v>266</v>
      </c>
      <c r="N27" t="b">
        <v>0</v>
      </c>
    </row>
    <row r="28" spans="2:19" ht="20.25" customHeight="1" thickBot="1" x14ac:dyDescent="0.25">
      <c r="M28" t="s">
        <v>267</v>
      </c>
      <c r="N28" t="b">
        <v>1</v>
      </c>
    </row>
    <row r="29" spans="2:19" ht="20.25" customHeight="1" x14ac:dyDescent="0.2">
      <c r="B29" s="104"/>
      <c r="C29" s="105"/>
      <c r="D29" s="105"/>
      <c r="E29" s="106"/>
      <c r="M29" t="s">
        <v>268</v>
      </c>
      <c r="N29" t="b">
        <v>1</v>
      </c>
    </row>
    <row r="30" spans="2:19" ht="20.25" customHeight="1" x14ac:dyDescent="0.2">
      <c r="B30" s="148" t="s">
        <v>272</v>
      </c>
      <c r="C30" s="149"/>
      <c r="D30" s="149"/>
      <c r="E30" s="150"/>
      <c r="M30" t="s">
        <v>269</v>
      </c>
      <c r="N30" t="b">
        <v>1</v>
      </c>
    </row>
    <row r="31" spans="2:19" ht="20.25" customHeight="1" x14ac:dyDescent="0.2">
      <c r="B31" s="107"/>
      <c r="C31" s="108"/>
      <c r="D31" s="108"/>
      <c r="E31" s="109"/>
    </row>
    <row r="32" spans="2:19" ht="20.25" customHeight="1" x14ac:dyDescent="0.2">
      <c r="B32" s="107"/>
      <c r="C32" s="108"/>
      <c r="D32" s="108"/>
      <c r="E32" s="109"/>
      <c r="N32" t="s">
        <v>208</v>
      </c>
    </row>
    <row r="33" spans="2:14" ht="20.25" customHeight="1" x14ac:dyDescent="0.2">
      <c r="B33" s="107"/>
      <c r="C33" s="108"/>
      <c r="D33" s="108"/>
      <c r="E33" s="109"/>
      <c r="N33" t="s">
        <v>208</v>
      </c>
    </row>
    <row r="34" spans="2:14" ht="20.25" customHeight="1" thickBot="1" x14ac:dyDescent="0.25">
      <c r="B34" s="110"/>
      <c r="C34" s="111"/>
      <c r="D34" s="111"/>
      <c r="E34" s="112"/>
      <c r="N34" t="s">
        <v>211</v>
      </c>
    </row>
    <row r="35" spans="2:14" ht="20.25" customHeight="1" x14ac:dyDescent="0.2">
      <c r="N35" t="s">
        <v>209</v>
      </c>
    </row>
    <row r="36" spans="2:14" ht="20.25" customHeight="1" x14ac:dyDescent="0.2">
      <c r="N36" t="s">
        <v>210</v>
      </c>
    </row>
    <row r="37" spans="2:14" ht="20.25" customHeight="1" x14ac:dyDescent="0.2">
      <c r="N37" t="str">
        <f>"C"&amp;P23&amp;P24&amp;P25&amp;R23&amp;R24&amp;R25&amp;S23&amp;S24&amp;S25</f>
        <v>C666BBBNNS</v>
      </c>
    </row>
    <row r="38" spans="2:14" ht="20.25" customHeight="1" x14ac:dyDescent="0.2"/>
  </sheetData>
  <mergeCells count="3">
    <mergeCell ref="I8:J8"/>
    <mergeCell ref="B16:C16"/>
    <mergeCell ref="B30:E30"/>
  </mergeCells>
  <phoneticPr fontId="3" type="noConversion"/>
  <pageMargins left="0.7" right="0.7" top="0.75" bottom="0.75" header="0.3" footer="0.3"/>
  <drawing r:id="rId1"/>
  <legacyDrawing r:id="rId2"/>
  <controls>
    <mc:AlternateContent xmlns:mc="http://schemas.openxmlformats.org/markup-compatibility/2006">
      <mc:Choice Requires="x14">
        <control shapeId="112681" r:id="rId3" name="btnMiscHeadMQTT">
          <controlPr autoLine="0" r:id="rId4">
            <anchor moveWithCells="1">
              <from>
                <xdr:col>0</xdr:col>
                <xdr:colOff>619125</xdr:colOff>
                <xdr:row>24</xdr:row>
                <xdr:rowOff>95250</xdr:rowOff>
              </from>
              <to>
                <xdr:col>2</xdr:col>
                <xdr:colOff>209550</xdr:colOff>
                <xdr:row>26</xdr:row>
                <xdr:rowOff>161925</xdr:rowOff>
              </to>
            </anchor>
          </controlPr>
        </control>
      </mc:Choice>
      <mc:Fallback>
        <control shapeId="112681" r:id="rId3" name="btnMiscHeadMQTT"/>
      </mc:Fallback>
    </mc:AlternateContent>
    <mc:AlternateContent xmlns:mc="http://schemas.openxmlformats.org/markup-compatibility/2006">
      <mc:Choice Requires="x14">
        <control shapeId="112680" r:id="rId5" name="CommandButton2">
          <controlPr autoLine="0" r:id="rId6">
            <anchor moveWithCells="1">
              <from>
                <xdr:col>1</xdr:col>
                <xdr:colOff>219075</xdr:colOff>
                <xdr:row>39</xdr:row>
                <xdr:rowOff>171450</xdr:rowOff>
              </from>
              <to>
                <xdr:col>2</xdr:col>
                <xdr:colOff>495300</xdr:colOff>
                <xdr:row>43</xdr:row>
                <xdr:rowOff>28575</xdr:rowOff>
              </to>
            </anchor>
          </controlPr>
        </control>
      </mc:Choice>
      <mc:Fallback>
        <control shapeId="112680" r:id="rId5" name="CommandButton2"/>
      </mc:Fallback>
    </mc:AlternateContent>
    <mc:AlternateContent xmlns:mc="http://schemas.openxmlformats.org/markup-compatibility/2006">
      <mc:Choice Requires="x14">
        <control shapeId="112679" r:id="rId7" name="btnMiscRingMQTT">
          <controlPr autoLine="0" r:id="rId8">
            <anchor moveWithCells="1">
              <from>
                <xdr:col>0</xdr:col>
                <xdr:colOff>619125</xdr:colOff>
                <xdr:row>21</xdr:row>
                <xdr:rowOff>209550</xdr:rowOff>
              </from>
              <to>
                <xdr:col>2</xdr:col>
                <xdr:colOff>209550</xdr:colOff>
                <xdr:row>24</xdr:row>
                <xdr:rowOff>19050</xdr:rowOff>
              </to>
            </anchor>
          </controlPr>
        </control>
      </mc:Choice>
      <mc:Fallback>
        <control shapeId="112679" r:id="rId7" name="btnMiscRingMQTT"/>
      </mc:Fallback>
    </mc:AlternateContent>
    <mc:AlternateContent xmlns:mc="http://schemas.openxmlformats.org/markup-compatibility/2006">
      <mc:Choice Requires="x14">
        <control shapeId="112673" r:id="rId9" name="btnSendBufferRing">
          <controlPr autoLine="0" r:id="rId10">
            <anchor moveWithCells="1">
              <from>
                <xdr:col>9</xdr:col>
                <xdr:colOff>1200150</xdr:colOff>
                <xdr:row>13</xdr:row>
                <xdr:rowOff>228600</xdr:rowOff>
              </from>
              <to>
                <xdr:col>10</xdr:col>
                <xdr:colOff>847725</xdr:colOff>
                <xdr:row>15</xdr:row>
                <xdr:rowOff>247650</xdr:rowOff>
              </to>
            </anchor>
          </controlPr>
        </control>
      </mc:Choice>
      <mc:Fallback>
        <control shapeId="112673" r:id="rId9" name="btnSendBufferRing"/>
      </mc:Fallback>
    </mc:AlternateContent>
    <mc:AlternateContent xmlns:mc="http://schemas.openxmlformats.org/markup-compatibility/2006">
      <mc:Choice Requires="x14">
        <control shapeId="112672" r:id="rId11" name="cmdStopPlayingRing">
          <controlPr autoLine="0" r:id="rId12">
            <anchor moveWithCells="1">
              <from>
                <xdr:col>9</xdr:col>
                <xdr:colOff>1190625</xdr:colOff>
                <xdr:row>18</xdr:row>
                <xdr:rowOff>85725</xdr:rowOff>
              </from>
              <to>
                <xdr:col>10</xdr:col>
                <xdr:colOff>828675</xdr:colOff>
                <xdr:row>20</xdr:row>
                <xdr:rowOff>104775</xdr:rowOff>
              </to>
            </anchor>
          </controlPr>
        </control>
      </mc:Choice>
      <mc:Fallback>
        <control shapeId="112672" r:id="rId11" name="cmdStopPlayingRing"/>
      </mc:Fallback>
    </mc:AlternateContent>
    <mc:AlternateContent xmlns:mc="http://schemas.openxmlformats.org/markup-compatibility/2006">
      <mc:Choice Requires="x14">
        <control shapeId="112671" r:id="rId13" name="btnPlayRing">
          <controlPr autoLine="0" r:id="rId14">
            <anchor moveWithCells="1">
              <from>
                <xdr:col>9</xdr:col>
                <xdr:colOff>1209675</xdr:colOff>
                <xdr:row>16</xdr:row>
                <xdr:rowOff>28575</xdr:rowOff>
              </from>
              <to>
                <xdr:col>10</xdr:col>
                <xdr:colOff>838200</xdr:colOff>
                <xdr:row>18</xdr:row>
                <xdr:rowOff>47625</xdr:rowOff>
              </to>
            </anchor>
          </controlPr>
        </control>
      </mc:Choice>
      <mc:Fallback>
        <control shapeId="112671" r:id="rId13" name="btnPlayRing"/>
      </mc:Fallback>
    </mc:AlternateContent>
    <mc:AlternateContent xmlns:mc="http://schemas.openxmlformats.org/markup-compatibility/2006">
      <mc:Choice Requires="x14">
        <control shapeId="112670" r:id="rId15" name="btnEraseRING">
          <controlPr autoLine="0" r:id="rId16">
            <anchor moveWithCells="1">
              <from>
                <xdr:col>9</xdr:col>
                <xdr:colOff>1209675</xdr:colOff>
                <xdr:row>11</xdr:row>
                <xdr:rowOff>0</xdr:rowOff>
              </from>
              <to>
                <xdr:col>10</xdr:col>
                <xdr:colOff>857250</xdr:colOff>
                <xdr:row>13</xdr:row>
                <xdr:rowOff>171450</xdr:rowOff>
              </to>
            </anchor>
          </controlPr>
        </control>
      </mc:Choice>
      <mc:Fallback>
        <control shapeId="112670" r:id="rId15" name="btnEraseRING"/>
      </mc:Fallback>
    </mc:AlternateContent>
    <mc:AlternateContent xmlns:mc="http://schemas.openxmlformats.org/markup-compatibility/2006">
      <mc:Choice Requires="x14">
        <control shapeId="112669" r:id="rId17" name="btnSendBufferHead">
          <controlPr autoLine="0" r:id="rId18">
            <anchor moveWithCells="1">
              <from>
                <xdr:col>5</xdr:col>
                <xdr:colOff>161925</xdr:colOff>
                <xdr:row>14</xdr:row>
                <xdr:rowOff>66675</xdr:rowOff>
              </from>
              <to>
                <xdr:col>5</xdr:col>
                <xdr:colOff>1190625</xdr:colOff>
                <xdr:row>16</xdr:row>
                <xdr:rowOff>85725</xdr:rowOff>
              </to>
            </anchor>
          </controlPr>
        </control>
      </mc:Choice>
      <mc:Fallback>
        <control shapeId="112669" r:id="rId17" name="btnSendBufferHead"/>
      </mc:Fallback>
    </mc:AlternateContent>
    <mc:AlternateContent xmlns:mc="http://schemas.openxmlformats.org/markup-compatibility/2006">
      <mc:Choice Requires="x14">
        <control shapeId="112668" r:id="rId19" name="AllCommandsHead">
          <controlPr defaultSize="0" autoLine="0" r:id="rId20">
            <anchor moveWithCells="1">
              <from>
                <xdr:col>5</xdr:col>
                <xdr:colOff>1228725</xdr:colOff>
                <xdr:row>10</xdr:row>
                <xdr:rowOff>161925</xdr:rowOff>
              </from>
              <to>
                <xdr:col>7</xdr:col>
                <xdr:colOff>609600</xdr:colOff>
                <xdr:row>36</xdr:row>
                <xdr:rowOff>133350</xdr:rowOff>
              </to>
            </anchor>
          </controlPr>
        </control>
      </mc:Choice>
      <mc:Fallback>
        <control shapeId="112668" r:id="rId19" name="AllCommandsHead"/>
      </mc:Fallback>
    </mc:AlternateContent>
    <mc:AlternateContent xmlns:mc="http://schemas.openxmlformats.org/markup-compatibility/2006">
      <mc:Choice Requires="x14">
        <control shapeId="112667" r:id="rId21" name="AllCommandsRing">
          <controlPr defaultSize="0" autoLine="0" autoPict="0" r:id="rId22">
            <anchor moveWithCells="1">
              <from>
                <xdr:col>7</xdr:col>
                <xdr:colOff>2181225</xdr:colOff>
                <xdr:row>11</xdr:row>
                <xdr:rowOff>0</xdr:rowOff>
              </from>
              <to>
                <xdr:col>9</xdr:col>
                <xdr:colOff>1152525</xdr:colOff>
                <xdr:row>36</xdr:row>
                <xdr:rowOff>152400</xdr:rowOff>
              </to>
            </anchor>
          </controlPr>
        </control>
      </mc:Choice>
      <mc:Fallback>
        <control shapeId="112667" r:id="rId21" name="AllCommandsRing"/>
      </mc:Fallback>
    </mc:AlternateContent>
    <mc:AlternateContent xmlns:mc="http://schemas.openxmlformats.org/markup-compatibility/2006">
      <mc:Choice Requires="x14">
        <control shapeId="112666" r:id="rId23" name="cmdOut">
          <controlPr defaultSize="0" autoLine="0" r:id="rId24">
            <anchor moveWithCells="1">
              <from>
                <xdr:col>2</xdr:col>
                <xdr:colOff>9525</xdr:colOff>
                <xdr:row>3</xdr:row>
                <xdr:rowOff>400050</xdr:rowOff>
              </from>
              <to>
                <xdr:col>2</xdr:col>
                <xdr:colOff>923925</xdr:colOff>
                <xdr:row>4</xdr:row>
                <xdr:rowOff>266700</xdr:rowOff>
              </to>
            </anchor>
          </controlPr>
        </control>
      </mc:Choice>
      <mc:Fallback>
        <control shapeId="112666" r:id="rId23" name="cmdOut"/>
      </mc:Fallback>
    </mc:AlternateContent>
    <mc:AlternateContent xmlns:mc="http://schemas.openxmlformats.org/markup-compatibility/2006">
      <mc:Choice Requires="x14">
        <control shapeId="112665" r:id="rId25" name="cmdIn">
          <controlPr defaultSize="0" autoLine="0" r:id="rId26">
            <anchor moveWithCells="1">
              <from>
                <xdr:col>1</xdr:col>
                <xdr:colOff>133350</xdr:colOff>
                <xdr:row>3</xdr:row>
                <xdr:rowOff>409575</xdr:rowOff>
              </from>
              <to>
                <xdr:col>1</xdr:col>
                <xdr:colOff>1047750</xdr:colOff>
                <xdr:row>4</xdr:row>
                <xdr:rowOff>276225</xdr:rowOff>
              </to>
            </anchor>
          </controlPr>
        </control>
      </mc:Choice>
      <mc:Fallback>
        <control shapeId="112665" r:id="rId25" name="cmdIn"/>
      </mc:Fallback>
    </mc:AlternateContent>
    <mc:AlternateContent xmlns:mc="http://schemas.openxmlformats.org/markup-compatibility/2006">
      <mc:Choice Requires="x14">
        <control shapeId="112664" r:id="rId27" name="CBrotate">
          <controlPr autoLine="0" linkedCell="cb2Rotate" r:id="rId28">
            <anchor moveWithCells="1">
              <from>
                <xdr:col>2</xdr:col>
                <xdr:colOff>1066800</xdr:colOff>
                <xdr:row>2</xdr:row>
                <xdr:rowOff>104775</xdr:rowOff>
              </from>
              <to>
                <xdr:col>3</xdr:col>
                <xdr:colOff>285750</xdr:colOff>
                <xdr:row>2</xdr:row>
                <xdr:rowOff>361950</xdr:rowOff>
              </to>
            </anchor>
          </controlPr>
        </control>
      </mc:Choice>
      <mc:Fallback>
        <control shapeId="112664" r:id="rId27" name="CBrotate"/>
      </mc:Fallback>
    </mc:AlternateContent>
    <mc:AlternateContent xmlns:mc="http://schemas.openxmlformats.org/markup-compatibility/2006">
      <mc:Choice Requires="x14">
        <control shapeId="112663" r:id="rId29" name="CBfill">
          <controlPr autoLine="0" linkedCell="cb2Fill" r:id="rId30">
            <anchor moveWithCells="1">
              <from>
                <xdr:col>3</xdr:col>
                <xdr:colOff>266700</xdr:colOff>
                <xdr:row>2</xdr:row>
                <xdr:rowOff>133350</xdr:rowOff>
              </from>
              <to>
                <xdr:col>4</xdr:col>
                <xdr:colOff>476250</xdr:colOff>
                <xdr:row>2</xdr:row>
                <xdr:rowOff>352425</xdr:rowOff>
              </to>
            </anchor>
          </controlPr>
        </control>
      </mc:Choice>
      <mc:Fallback>
        <control shapeId="112663" r:id="rId29" name="CBfill"/>
      </mc:Fallback>
    </mc:AlternateContent>
    <mc:AlternateContent xmlns:mc="http://schemas.openxmlformats.org/markup-compatibility/2006">
      <mc:Choice Requires="x14">
        <control shapeId="112662" r:id="rId31" name="btnFill">
          <controlPr defaultSize="0" autoLine="0" r:id="rId32">
            <anchor moveWithCells="1">
              <from>
                <xdr:col>2</xdr:col>
                <xdr:colOff>19050</xdr:colOff>
                <xdr:row>2</xdr:row>
                <xdr:rowOff>85725</xdr:rowOff>
              </from>
              <to>
                <xdr:col>2</xdr:col>
                <xdr:colOff>933450</xdr:colOff>
                <xdr:row>2</xdr:row>
                <xdr:rowOff>390525</xdr:rowOff>
              </to>
            </anchor>
          </controlPr>
        </control>
      </mc:Choice>
      <mc:Fallback>
        <control shapeId="112662" r:id="rId31" name="btnFill"/>
      </mc:Fallback>
    </mc:AlternateContent>
    <mc:AlternateContent xmlns:mc="http://schemas.openxmlformats.org/markup-compatibility/2006">
      <mc:Choice Requires="x14">
        <control shapeId="112661" r:id="rId33" name="btnErase">
          <controlPr defaultSize="0" autoLine="0" r:id="rId34">
            <anchor moveWithCells="1">
              <from>
                <xdr:col>1</xdr:col>
                <xdr:colOff>133350</xdr:colOff>
                <xdr:row>2</xdr:row>
                <xdr:rowOff>76200</xdr:rowOff>
              </from>
              <to>
                <xdr:col>1</xdr:col>
                <xdr:colOff>1047750</xdr:colOff>
                <xdr:row>2</xdr:row>
                <xdr:rowOff>381000</xdr:rowOff>
              </to>
            </anchor>
          </controlPr>
        </control>
      </mc:Choice>
      <mc:Fallback>
        <control shapeId="112661" r:id="rId33" name="btnErase"/>
      </mc:Fallback>
    </mc:AlternateContent>
    <mc:AlternateContent xmlns:mc="http://schemas.openxmlformats.org/markup-compatibility/2006">
      <mc:Choice Requires="x14">
        <control shapeId="112660" r:id="rId35" name="btnRigh">
          <controlPr defaultSize="0" autoLine="0" r:id="rId36">
            <anchor moveWithCells="1">
              <from>
                <xdr:col>2</xdr:col>
                <xdr:colOff>19050</xdr:colOff>
                <xdr:row>3</xdr:row>
                <xdr:rowOff>28575</xdr:rowOff>
              </from>
              <to>
                <xdr:col>2</xdr:col>
                <xdr:colOff>933450</xdr:colOff>
                <xdr:row>3</xdr:row>
                <xdr:rowOff>333375</xdr:rowOff>
              </to>
            </anchor>
          </controlPr>
        </control>
      </mc:Choice>
      <mc:Fallback>
        <control shapeId="112660" r:id="rId35" name="btnRigh"/>
      </mc:Fallback>
    </mc:AlternateContent>
    <mc:AlternateContent xmlns:mc="http://schemas.openxmlformats.org/markup-compatibility/2006">
      <mc:Choice Requires="x14">
        <control shapeId="112659" r:id="rId37" name="btnLeft">
          <controlPr defaultSize="0" autoLine="0" r:id="rId38">
            <anchor moveWithCells="1">
              <from>
                <xdr:col>1</xdr:col>
                <xdr:colOff>123825</xdr:colOff>
                <xdr:row>3</xdr:row>
                <xdr:rowOff>28575</xdr:rowOff>
              </from>
              <to>
                <xdr:col>1</xdr:col>
                <xdr:colOff>1038225</xdr:colOff>
                <xdr:row>3</xdr:row>
                <xdr:rowOff>333375</xdr:rowOff>
              </to>
            </anchor>
          </controlPr>
        </control>
      </mc:Choice>
      <mc:Fallback>
        <control shapeId="112659" r:id="rId37" name="btnLeft"/>
      </mc:Fallback>
    </mc:AlternateContent>
    <mc:AlternateContent xmlns:mc="http://schemas.openxmlformats.org/markup-compatibility/2006">
      <mc:Choice Requires="x14">
        <control shapeId="112658" r:id="rId39" name="btnSetTimingHead">
          <controlPr autoLine="0" r:id="rId40">
            <anchor moveWithCells="1">
              <from>
                <xdr:col>4</xdr:col>
                <xdr:colOff>57150</xdr:colOff>
                <xdr:row>9</xdr:row>
                <xdr:rowOff>19050</xdr:rowOff>
              </from>
              <to>
                <xdr:col>5</xdr:col>
                <xdr:colOff>609600</xdr:colOff>
                <xdr:row>10</xdr:row>
                <xdr:rowOff>171450</xdr:rowOff>
              </to>
            </anchor>
          </controlPr>
        </control>
      </mc:Choice>
      <mc:Fallback>
        <control shapeId="112658" r:id="rId39" name="btnSetTimingHead"/>
      </mc:Fallback>
    </mc:AlternateContent>
    <mc:AlternateContent xmlns:mc="http://schemas.openxmlformats.org/markup-compatibility/2006">
      <mc:Choice Requires="x14">
        <control shapeId="112656" r:id="rId41" name="btnSetColorHead">
          <controlPr autoLine="0" r:id="rId42">
            <anchor moveWithCells="1">
              <from>
                <xdr:col>5</xdr:col>
                <xdr:colOff>1238250</xdr:colOff>
                <xdr:row>8</xdr:row>
                <xdr:rowOff>9525</xdr:rowOff>
              </from>
              <to>
                <xdr:col>7</xdr:col>
                <xdr:colOff>9525</xdr:colOff>
                <xdr:row>10</xdr:row>
                <xdr:rowOff>133350</xdr:rowOff>
              </to>
            </anchor>
          </controlPr>
        </control>
      </mc:Choice>
      <mc:Fallback>
        <control shapeId="112656" r:id="rId41" name="btnSetColorHead"/>
      </mc:Fallback>
    </mc:AlternateContent>
    <mc:AlternateContent xmlns:mc="http://schemas.openxmlformats.org/markup-compatibility/2006">
      <mc:Choice Requires="x14">
        <control shapeId="112650" r:id="rId43" name="cmbRightEyeColor">
          <controlPr defaultSize="0" autoLine="0" linkedCell="Reye" listFillRange="SelectColors" r:id="rId44">
            <anchor moveWithCells="1">
              <from>
                <xdr:col>11</xdr:col>
                <xdr:colOff>28575</xdr:colOff>
                <xdr:row>2</xdr:row>
                <xdr:rowOff>85725</xdr:rowOff>
              </from>
              <to>
                <xdr:col>11</xdr:col>
                <xdr:colOff>1295400</xdr:colOff>
                <xdr:row>2</xdr:row>
                <xdr:rowOff>352425</xdr:rowOff>
              </to>
            </anchor>
          </controlPr>
        </control>
      </mc:Choice>
      <mc:Fallback>
        <control shapeId="112650" r:id="rId43" name="cmbRightEyeColor"/>
      </mc:Fallback>
    </mc:AlternateContent>
    <mc:AlternateContent xmlns:mc="http://schemas.openxmlformats.org/markup-compatibility/2006">
      <mc:Choice Requires="x14">
        <control shapeId="112649" r:id="rId45" name="cmbNoseColor">
          <controlPr defaultSize="0" autoLine="0" linkedCell="Nose" listFillRange="SelectColors" r:id="rId46">
            <anchor moveWithCells="1">
              <from>
                <xdr:col>10</xdr:col>
                <xdr:colOff>28575</xdr:colOff>
                <xdr:row>2</xdr:row>
                <xdr:rowOff>85725</xdr:rowOff>
              </from>
              <to>
                <xdr:col>10</xdr:col>
                <xdr:colOff>1295400</xdr:colOff>
                <xdr:row>2</xdr:row>
                <xdr:rowOff>352425</xdr:rowOff>
              </to>
            </anchor>
          </controlPr>
        </control>
      </mc:Choice>
      <mc:Fallback>
        <control shapeId="112649" r:id="rId45" name="cmbNoseColor"/>
      </mc:Fallback>
    </mc:AlternateContent>
    <mc:AlternateContent xmlns:mc="http://schemas.openxmlformats.org/markup-compatibility/2006">
      <mc:Choice Requires="x14">
        <control shapeId="112645" r:id="rId47" name="cmdStopPlayingHead">
          <controlPr autoLine="0" r:id="rId48">
            <anchor moveWithCells="1">
              <from>
                <xdr:col>5</xdr:col>
                <xdr:colOff>152400</xdr:colOff>
                <xdr:row>18</xdr:row>
                <xdr:rowOff>180975</xdr:rowOff>
              </from>
              <to>
                <xdr:col>5</xdr:col>
                <xdr:colOff>1171575</xdr:colOff>
                <xdr:row>20</xdr:row>
                <xdr:rowOff>200025</xdr:rowOff>
              </to>
            </anchor>
          </controlPr>
        </control>
      </mc:Choice>
      <mc:Fallback>
        <control shapeId="112645" r:id="rId47" name="cmdStopPlayingHead"/>
      </mc:Fallback>
    </mc:AlternateContent>
    <mc:AlternateContent xmlns:mc="http://schemas.openxmlformats.org/markup-compatibility/2006">
      <mc:Choice Requires="x14">
        <control shapeId="112644" r:id="rId49" name="btnPlayHEAD">
          <controlPr autoLine="0" r:id="rId50">
            <anchor moveWithCells="1">
              <from>
                <xdr:col>5</xdr:col>
                <xdr:colOff>171450</xdr:colOff>
                <xdr:row>16</xdr:row>
                <xdr:rowOff>123825</xdr:rowOff>
              </from>
              <to>
                <xdr:col>5</xdr:col>
                <xdr:colOff>1181100</xdr:colOff>
                <xdr:row>18</xdr:row>
                <xdr:rowOff>142875</xdr:rowOff>
              </to>
            </anchor>
          </controlPr>
        </control>
      </mc:Choice>
      <mc:Fallback>
        <control shapeId="112644" r:id="rId49" name="btnPlayHEAD"/>
      </mc:Fallback>
    </mc:AlternateContent>
    <mc:AlternateContent xmlns:mc="http://schemas.openxmlformats.org/markup-compatibility/2006">
      <mc:Choice Requires="x14">
        <control shapeId="112643" r:id="rId51" name="btnEraseHEAD">
          <controlPr autoLine="0" r:id="rId52">
            <anchor moveWithCells="1">
              <from>
                <xdr:col>5</xdr:col>
                <xdr:colOff>171450</xdr:colOff>
                <xdr:row>11</xdr:row>
                <xdr:rowOff>95250</xdr:rowOff>
              </from>
              <to>
                <xdr:col>5</xdr:col>
                <xdr:colOff>1200150</xdr:colOff>
                <xdr:row>14</xdr:row>
                <xdr:rowOff>9525</xdr:rowOff>
              </to>
            </anchor>
          </controlPr>
        </control>
      </mc:Choice>
      <mc:Fallback>
        <control shapeId="112643" r:id="rId51" name="btnEraseHEAD"/>
      </mc:Fallback>
    </mc:AlternateContent>
    <mc:AlternateContent xmlns:mc="http://schemas.openxmlformats.org/markup-compatibility/2006">
      <mc:Choice Requires="x14">
        <control shapeId="112642" r:id="rId53" name="btnSetColorRing">
          <controlPr autoLine="0" r:id="rId54">
            <anchor moveWithCells="1">
              <from>
                <xdr:col>8</xdr:col>
                <xdr:colOff>0</xdr:colOff>
                <xdr:row>8</xdr:row>
                <xdr:rowOff>9525</xdr:rowOff>
              </from>
              <to>
                <xdr:col>8</xdr:col>
                <xdr:colOff>1428750</xdr:colOff>
                <xdr:row>10</xdr:row>
                <xdr:rowOff>133350</xdr:rowOff>
              </to>
            </anchor>
          </controlPr>
        </control>
      </mc:Choice>
      <mc:Fallback>
        <control shapeId="112642" r:id="rId53" name="btnSetColorRing"/>
      </mc:Fallback>
    </mc:AlternateContent>
    <mc:AlternateContent xmlns:mc="http://schemas.openxmlformats.org/markup-compatibility/2006">
      <mc:Choice Requires="x14">
        <control shapeId="112641" r:id="rId55" name="btnSetTimingRing">
          <controlPr autoLine="0" r:id="rId56">
            <anchor moveWithCells="1">
              <from>
                <xdr:col>4</xdr:col>
                <xdr:colOff>47625</xdr:colOff>
                <xdr:row>6</xdr:row>
                <xdr:rowOff>219075</xdr:rowOff>
              </from>
              <to>
                <xdr:col>5</xdr:col>
                <xdr:colOff>600075</xdr:colOff>
                <xdr:row>8</xdr:row>
                <xdr:rowOff>133350</xdr:rowOff>
              </to>
            </anchor>
          </controlPr>
        </control>
      </mc:Choice>
      <mc:Fallback>
        <control shapeId="112641" r:id="rId55" name="btnSetTimingRing"/>
      </mc:Fallback>
    </mc:AlternateContent>
    <mc:AlternateContent xmlns:mc="http://schemas.openxmlformats.org/markup-compatibility/2006">
      <mc:Choice Requires="x14">
        <control shapeId="112647" r:id="rId57" name="cmbLeftEyeColor">
          <controlPr defaultSize="0" autoLine="0" autoPict="0" linkedCell="Leye" listFillRange="SelectColors" r:id="rId58">
            <anchor moveWithCells="1">
              <from>
                <xdr:col>9</xdr:col>
                <xdr:colOff>28575</xdr:colOff>
                <xdr:row>2</xdr:row>
                <xdr:rowOff>85725</xdr:rowOff>
              </from>
              <to>
                <xdr:col>9</xdr:col>
                <xdr:colOff>1295400</xdr:colOff>
                <xdr:row>2</xdr:row>
                <xdr:rowOff>352425</xdr:rowOff>
              </to>
            </anchor>
          </controlPr>
        </control>
      </mc:Choice>
      <mc:Fallback>
        <control shapeId="112647" r:id="rId57" name="cmbLeftEyeColor"/>
      </mc:Fallback>
    </mc:AlternateContent>
    <mc:AlternateContent xmlns:mc="http://schemas.openxmlformats.org/markup-compatibility/2006">
      <mc:Choice Requires="x14">
        <control shapeId="112651" r:id="rId59" name="cmbLeftEyePattern">
          <controlPr defaultSize="0" autoLine="0" linkedCell="LeyePat" listFillRange="SelectPattern" r:id="rId60">
            <anchor moveWithCells="1">
              <from>
                <xdr:col>9</xdr:col>
                <xdr:colOff>28575</xdr:colOff>
                <xdr:row>3</xdr:row>
                <xdr:rowOff>85725</xdr:rowOff>
              </from>
              <to>
                <xdr:col>9</xdr:col>
                <xdr:colOff>1295400</xdr:colOff>
                <xdr:row>3</xdr:row>
                <xdr:rowOff>352425</xdr:rowOff>
              </to>
            </anchor>
          </controlPr>
        </control>
      </mc:Choice>
      <mc:Fallback>
        <control shapeId="112651" r:id="rId59" name="cmbLeftEyePattern"/>
      </mc:Fallback>
    </mc:AlternateContent>
    <mc:AlternateContent xmlns:mc="http://schemas.openxmlformats.org/markup-compatibility/2006">
      <mc:Choice Requires="x14">
        <control shapeId="112653" r:id="rId61" name="cmbNosePattern">
          <controlPr defaultSize="0" autoLine="0" linkedCell="NosePat" listFillRange="SelectPattern" r:id="rId62">
            <anchor moveWithCells="1">
              <from>
                <xdr:col>10</xdr:col>
                <xdr:colOff>28575</xdr:colOff>
                <xdr:row>3</xdr:row>
                <xdr:rowOff>85725</xdr:rowOff>
              </from>
              <to>
                <xdr:col>10</xdr:col>
                <xdr:colOff>1295400</xdr:colOff>
                <xdr:row>3</xdr:row>
                <xdr:rowOff>352425</xdr:rowOff>
              </to>
            </anchor>
          </controlPr>
        </control>
      </mc:Choice>
      <mc:Fallback>
        <control shapeId="112653" r:id="rId61" name="cmbNosePattern"/>
      </mc:Fallback>
    </mc:AlternateContent>
    <mc:AlternateContent xmlns:mc="http://schemas.openxmlformats.org/markup-compatibility/2006">
      <mc:Choice Requires="x14">
        <control shapeId="112654" r:id="rId63" name="cmbRightEyePattern">
          <controlPr defaultSize="0" autoLine="0" linkedCell="ReyePat" listFillRange="SelectPattern" r:id="rId64">
            <anchor moveWithCells="1">
              <from>
                <xdr:col>11</xdr:col>
                <xdr:colOff>28575</xdr:colOff>
                <xdr:row>3</xdr:row>
                <xdr:rowOff>85725</xdr:rowOff>
              </from>
              <to>
                <xdr:col>11</xdr:col>
                <xdr:colOff>1295400</xdr:colOff>
                <xdr:row>3</xdr:row>
                <xdr:rowOff>352425</xdr:rowOff>
              </to>
            </anchor>
          </controlPr>
        </control>
      </mc:Choice>
      <mc:Fallback>
        <control shapeId="112654" r:id="rId63" name="cmbRightEyePattern"/>
      </mc:Fallback>
    </mc:AlternateContent>
    <mc:AlternateContent xmlns:mc="http://schemas.openxmlformats.org/markup-compatibility/2006">
      <mc:Choice Requires="x14">
        <control shapeId="112674" r:id="rId65" name="btnCopyHEAD">
          <controlPr defaultSize="0" autoLine="0" autoPict="0" r:id="rId66">
            <anchor moveWithCells="1">
              <from>
                <xdr:col>7</xdr:col>
                <xdr:colOff>47625</xdr:colOff>
                <xdr:row>8</xdr:row>
                <xdr:rowOff>9525</xdr:rowOff>
              </from>
              <to>
                <xdr:col>7</xdr:col>
                <xdr:colOff>809625</xdr:colOff>
                <xdr:row>9</xdr:row>
                <xdr:rowOff>114300</xdr:rowOff>
              </to>
            </anchor>
          </controlPr>
        </control>
      </mc:Choice>
      <mc:Fallback>
        <control shapeId="112674" r:id="rId65" name="btnCopyHEAD"/>
      </mc:Fallback>
    </mc:AlternateContent>
    <mc:AlternateContent xmlns:mc="http://schemas.openxmlformats.org/markup-compatibility/2006">
      <mc:Choice Requires="x14">
        <control shapeId="112675" r:id="rId67" name="btnCopyRing">
          <controlPr defaultSize="0" autoLine="0" r:id="rId68">
            <anchor moveWithCells="1">
              <from>
                <xdr:col>9</xdr:col>
                <xdr:colOff>628650</xdr:colOff>
                <xdr:row>8</xdr:row>
                <xdr:rowOff>38100</xdr:rowOff>
              </from>
              <to>
                <xdr:col>10</xdr:col>
                <xdr:colOff>9525</xdr:colOff>
                <xdr:row>9</xdr:row>
                <xdr:rowOff>142875</xdr:rowOff>
              </to>
            </anchor>
          </controlPr>
        </control>
      </mc:Choice>
      <mc:Fallback>
        <control shapeId="112675" r:id="rId67" name="btnCopyRing"/>
      </mc:Fallback>
    </mc:AlternateContent>
    <mc:AlternateContent xmlns:mc="http://schemas.openxmlformats.org/markup-compatibility/2006">
      <mc:Choice Requires="x14">
        <control shapeId="112676" r:id="rId69" name="cbAutoHEAD">
          <controlPr autoLine="0" autoPict="0" linkedCell="autoHEAD" r:id="rId70">
            <anchor moveWithCells="1">
              <from>
                <xdr:col>7</xdr:col>
                <xdr:colOff>66675</xdr:colOff>
                <xdr:row>9</xdr:row>
                <xdr:rowOff>152400</xdr:rowOff>
              </from>
              <to>
                <xdr:col>7</xdr:col>
                <xdr:colOff>895350</xdr:colOff>
                <xdr:row>10</xdr:row>
                <xdr:rowOff>152400</xdr:rowOff>
              </to>
            </anchor>
          </controlPr>
        </control>
      </mc:Choice>
      <mc:Fallback>
        <control shapeId="112676" r:id="rId69" name="cbAutoHEAD"/>
      </mc:Fallback>
    </mc:AlternateContent>
    <mc:AlternateContent xmlns:mc="http://schemas.openxmlformats.org/markup-compatibility/2006">
      <mc:Choice Requires="x14">
        <control shapeId="112677" r:id="rId71" name="CheckBox1">
          <controlPr autoLine="0" linkedCell="autoRING" r:id="rId72">
            <anchor moveWithCells="1">
              <from>
                <xdr:col>9</xdr:col>
                <xdr:colOff>647700</xdr:colOff>
                <xdr:row>9</xdr:row>
                <xdr:rowOff>171450</xdr:rowOff>
              </from>
              <to>
                <xdr:col>10</xdr:col>
                <xdr:colOff>95250</xdr:colOff>
                <xdr:row>10</xdr:row>
                <xdr:rowOff>171450</xdr:rowOff>
              </to>
            </anchor>
          </controlPr>
        </control>
      </mc:Choice>
      <mc:Fallback>
        <control shapeId="112677" r:id="rId71" name="CheckBox1"/>
      </mc:Fallback>
    </mc:AlternateContent>
    <mc:AlternateContent xmlns:mc="http://schemas.openxmlformats.org/markup-compatibility/2006">
      <mc:Choice Requires="x14">
        <control shapeId="112682" r:id="rId73" name="ActivateHead">
          <controlPr autoLine="0" r:id="rId74">
            <anchor moveWithCells="1">
              <from>
                <xdr:col>2</xdr:col>
                <xdr:colOff>1000125</xdr:colOff>
                <xdr:row>32</xdr:row>
                <xdr:rowOff>57150</xdr:rowOff>
              </from>
              <to>
                <xdr:col>4</xdr:col>
                <xdr:colOff>352425</xdr:colOff>
                <xdr:row>33</xdr:row>
                <xdr:rowOff>104775</xdr:rowOff>
              </to>
            </anchor>
          </controlPr>
        </control>
      </mc:Choice>
      <mc:Fallback>
        <control shapeId="112682" r:id="rId73" name="ActivateHead"/>
      </mc:Fallback>
    </mc:AlternateContent>
    <mc:AlternateContent xmlns:mc="http://schemas.openxmlformats.org/markup-compatibility/2006">
      <mc:Choice Requires="x14">
        <control shapeId="112683" r:id="rId75" name="SleepHead">
          <controlPr autoLine="0" r:id="rId76">
            <anchor moveWithCells="1">
              <from>
                <xdr:col>1</xdr:col>
                <xdr:colOff>514350</xdr:colOff>
                <xdr:row>32</xdr:row>
                <xdr:rowOff>66675</xdr:rowOff>
              </from>
              <to>
                <xdr:col>2</xdr:col>
                <xdr:colOff>561975</xdr:colOff>
                <xdr:row>33</xdr:row>
                <xdr:rowOff>114300</xdr:rowOff>
              </to>
            </anchor>
          </controlPr>
        </control>
      </mc:Choice>
      <mc:Fallback>
        <control shapeId="112683" r:id="rId75" name="SleepHead"/>
      </mc:Fallback>
    </mc:AlternateContent>
    <mc:AlternateContent xmlns:mc="http://schemas.openxmlformats.org/markup-compatibility/2006">
      <mc:Choice Requires="x14">
        <control shapeId="112684" r:id="rId77" name="ComboBox1">
          <controlPr locked="0" defaultSize="0" autoLine="0" linkedCell="What" listFillRange="ActivateSleep" r:id="rId78">
            <anchor moveWithCells="1">
              <from>
                <xdr:col>1</xdr:col>
                <xdr:colOff>504825</xdr:colOff>
                <xdr:row>30</xdr:row>
                <xdr:rowOff>152400</xdr:rowOff>
              </from>
              <to>
                <xdr:col>4</xdr:col>
                <xdr:colOff>352425</xdr:colOff>
                <xdr:row>31</xdr:row>
                <xdr:rowOff>161925</xdr:rowOff>
              </to>
            </anchor>
          </controlPr>
        </control>
      </mc:Choice>
      <mc:Fallback>
        <control shapeId="112684" r:id="rId77"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A948-29E2-4BD7-8CFD-06FBF3C2A8BB}">
  <sheetPr codeName="Sheet8"/>
  <dimension ref="B1:I30"/>
  <sheetViews>
    <sheetView workbookViewId="0">
      <selection activeCell="B16" sqref="B16"/>
    </sheetView>
  </sheetViews>
  <sheetFormatPr defaultRowHeight="14.25" x14ac:dyDescent="0.2"/>
  <cols>
    <col min="2" max="2" width="15.125" bestFit="1" customWidth="1"/>
    <col min="3" max="3" width="24.375" bestFit="1" customWidth="1"/>
    <col min="6" max="6" width="20.5" bestFit="1" customWidth="1"/>
    <col min="7" max="7" width="13.125" customWidth="1"/>
    <col min="8" max="8" width="12.75" bestFit="1" customWidth="1"/>
    <col min="9" max="9" width="20.5" bestFit="1" customWidth="1"/>
    <col min="10" max="10" width="15.25" customWidth="1"/>
    <col min="12" max="12" width="20.5" bestFit="1" customWidth="1"/>
  </cols>
  <sheetData>
    <row r="1" spans="2:7" ht="60.75" customHeight="1" thickBot="1" x14ac:dyDescent="0.25"/>
    <row r="2" spans="2:7" ht="20.25" x14ac:dyDescent="0.3">
      <c r="B2" s="117" t="s">
        <v>212</v>
      </c>
      <c r="C2" s="118"/>
      <c r="D2" s="119"/>
    </row>
    <row r="3" spans="2:7" x14ac:dyDescent="0.2">
      <c r="B3" s="120" t="s">
        <v>226</v>
      </c>
      <c r="C3" s="116">
        <v>35</v>
      </c>
      <c r="D3" s="121" t="s">
        <v>239</v>
      </c>
    </row>
    <row r="4" spans="2:7" x14ac:dyDescent="0.2">
      <c r="B4" s="120" t="s">
        <v>241</v>
      </c>
      <c r="C4" s="116">
        <v>970</v>
      </c>
      <c r="D4" s="122" t="s">
        <v>214</v>
      </c>
    </row>
    <row r="5" spans="2:7" x14ac:dyDescent="0.2">
      <c r="B5" s="120" t="s">
        <v>242</v>
      </c>
      <c r="C5" s="116">
        <v>1450</v>
      </c>
      <c r="D5" s="122" t="s">
        <v>214</v>
      </c>
    </row>
    <row r="6" spans="2:7" x14ac:dyDescent="0.2">
      <c r="B6" s="120" t="s">
        <v>224</v>
      </c>
      <c r="C6" s="116">
        <v>2000</v>
      </c>
      <c r="D6" s="122" t="s">
        <v>214</v>
      </c>
    </row>
    <row r="7" spans="2:7" ht="15" thickBot="1" x14ac:dyDescent="0.25">
      <c r="B7" s="123" t="s">
        <v>225</v>
      </c>
      <c r="C7" s="124">
        <v>50</v>
      </c>
      <c r="D7" s="125" t="s">
        <v>214</v>
      </c>
    </row>
    <row r="8" spans="2:7" ht="15" thickBot="1" x14ac:dyDescent="0.25"/>
    <row r="9" spans="2:7" ht="21" x14ac:dyDescent="0.35">
      <c r="B9" s="153" t="s">
        <v>227</v>
      </c>
      <c r="C9" s="154"/>
      <c r="E9">
        <v>6</v>
      </c>
    </row>
    <row r="10" spans="2:7" ht="23.25" customHeight="1" x14ac:dyDescent="0.2">
      <c r="B10" s="66">
        <v>0</v>
      </c>
      <c r="C10" s="113" t="s">
        <v>240</v>
      </c>
    </row>
    <row r="11" spans="2:7" ht="23.25" customHeight="1" x14ac:dyDescent="0.2">
      <c r="B11" s="66">
        <v>1</v>
      </c>
      <c r="C11" s="113" t="s">
        <v>228</v>
      </c>
      <c r="D11" s="21"/>
      <c r="G11" s="21"/>
    </row>
    <row r="12" spans="2:7" ht="23.25" customHeight="1" x14ac:dyDescent="0.2">
      <c r="B12" s="66">
        <v>2</v>
      </c>
      <c r="C12" s="113" t="s">
        <v>229</v>
      </c>
      <c r="D12" s="21"/>
      <c r="G12" s="21"/>
    </row>
    <row r="13" spans="2:7" ht="23.25" customHeight="1" x14ac:dyDescent="0.2">
      <c r="B13" s="66">
        <v>3</v>
      </c>
      <c r="C13" s="113" t="s">
        <v>230</v>
      </c>
      <c r="D13" s="21"/>
      <c r="G13" s="21"/>
    </row>
    <row r="14" spans="2:7" ht="23.25" customHeight="1" x14ac:dyDescent="0.2">
      <c r="B14" s="66">
        <v>4</v>
      </c>
      <c r="C14" s="113" t="s">
        <v>231</v>
      </c>
      <c r="D14" s="21"/>
      <c r="G14" s="21"/>
    </row>
    <row r="15" spans="2:7" ht="23.25" customHeight="1" x14ac:dyDescent="0.2">
      <c r="B15" s="66">
        <v>5</v>
      </c>
      <c r="C15" s="113" t="s">
        <v>276</v>
      </c>
      <c r="D15" s="21"/>
      <c r="G15" s="21"/>
    </row>
    <row r="16" spans="2:7" ht="23.25" customHeight="1" thickBot="1" x14ac:dyDescent="0.25">
      <c r="B16" s="66">
        <v>6</v>
      </c>
      <c r="C16" s="113" t="s">
        <v>277</v>
      </c>
      <c r="D16" s="21"/>
      <c r="G16" s="21"/>
    </row>
    <row r="17" spans="2:9" ht="23.25" customHeight="1" x14ac:dyDescent="0.35">
      <c r="B17" s="153" t="s">
        <v>232</v>
      </c>
      <c r="C17" s="154"/>
      <c r="D17" s="21"/>
      <c r="E17">
        <v>0</v>
      </c>
      <c r="G17" s="21"/>
      <c r="H17" s="21"/>
      <c r="I17" s="21"/>
    </row>
    <row r="18" spans="2:9" ht="23.25" customHeight="1" x14ac:dyDescent="0.2">
      <c r="B18" s="65">
        <v>0</v>
      </c>
      <c r="C18" s="113" t="s">
        <v>233</v>
      </c>
    </row>
    <row r="19" spans="2:9" ht="23.25" customHeight="1" x14ac:dyDescent="0.2">
      <c r="B19" s="65">
        <v>1</v>
      </c>
      <c r="C19" s="113" t="s">
        <v>234</v>
      </c>
    </row>
    <row r="20" spans="2:9" ht="23.25" customHeight="1" x14ac:dyDescent="0.2">
      <c r="B20" s="65">
        <v>2</v>
      </c>
      <c r="C20" s="113" t="s">
        <v>235</v>
      </c>
    </row>
    <row r="21" spans="2:9" ht="23.25" customHeight="1" x14ac:dyDescent="0.2">
      <c r="B21" s="72">
        <v>3</v>
      </c>
      <c r="C21" s="114" t="s">
        <v>236</v>
      </c>
    </row>
    <row r="22" spans="2:9" ht="23.25" customHeight="1" thickBot="1" x14ac:dyDescent="0.25">
      <c r="B22" s="67">
        <v>4</v>
      </c>
      <c r="C22" s="115" t="s">
        <v>237</v>
      </c>
    </row>
    <row r="23" spans="2:9" ht="23.25" customHeight="1" x14ac:dyDescent="0.2">
      <c r="B23" s="151" t="s">
        <v>238</v>
      </c>
      <c r="C23" s="152"/>
      <c r="E23">
        <v>0</v>
      </c>
    </row>
    <row r="24" spans="2:9" ht="23.25" customHeight="1" x14ac:dyDescent="0.2">
      <c r="B24" s="65">
        <v>0</v>
      </c>
      <c r="C24" s="113" t="s">
        <v>245</v>
      </c>
    </row>
    <row r="25" spans="2:9" ht="23.25" customHeight="1" thickBot="1" x14ac:dyDescent="0.25">
      <c r="B25" s="65">
        <v>1</v>
      </c>
      <c r="C25" s="113" t="s">
        <v>246</v>
      </c>
    </row>
    <row r="26" spans="2:9" ht="23.25" customHeight="1" x14ac:dyDescent="0.35">
      <c r="B26" s="153" t="s">
        <v>247</v>
      </c>
      <c r="C26" s="154"/>
      <c r="E26">
        <v>0</v>
      </c>
    </row>
    <row r="27" spans="2:9" ht="15" x14ac:dyDescent="0.2">
      <c r="B27" s="65">
        <v>0</v>
      </c>
      <c r="C27" s="113" t="s">
        <v>248</v>
      </c>
    </row>
    <row r="28" spans="2:9" ht="15" x14ac:dyDescent="0.2">
      <c r="B28" s="65">
        <v>1</v>
      </c>
      <c r="C28" s="113" t="s">
        <v>229</v>
      </c>
    </row>
    <row r="29" spans="2:9" ht="15" x14ac:dyDescent="0.2">
      <c r="B29" s="65">
        <v>2</v>
      </c>
      <c r="C29" s="113" t="s">
        <v>249</v>
      </c>
    </row>
    <row r="30" spans="2:9" ht="15.75" thickBot="1" x14ac:dyDescent="0.25">
      <c r="B30" s="67">
        <v>3</v>
      </c>
      <c r="C30" s="115" t="s">
        <v>231</v>
      </c>
    </row>
  </sheetData>
  <mergeCells count="4">
    <mergeCell ref="B23:C23"/>
    <mergeCell ref="B17:C17"/>
    <mergeCell ref="B26:C26"/>
    <mergeCell ref="B9:C9"/>
  </mergeCells>
  <pageMargins left="0.7" right="0.7" top="0.75" bottom="0.75" header="0.3" footer="0.3"/>
  <drawing r:id="rId1"/>
  <legacyDrawing r:id="rId2"/>
  <controls>
    <mc:AlternateContent xmlns:mc="http://schemas.openxmlformats.org/markup-compatibility/2006">
      <mc:Choice Requires="x14">
        <control shapeId="107530" r:id="rId3" name="cmbLHres">
          <controlPr defaultSize="0" autoLine="0" linkedCell="PinballLHres" listFillRange="LHresRange" r:id="rId4">
            <anchor moveWithCells="1">
              <from>
                <xdr:col>3</xdr:col>
                <xdr:colOff>123825</xdr:colOff>
                <xdr:row>25</xdr:row>
                <xdr:rowOff>38100</xdr:rowOff>
              </from>
              <to>
                <xdr:col>5</xdr:col>
                <xdr:colOff>438150</xdr:colOff>
                <xdr:row>25</xdr:row>
                <xdr:rowOff>276225</xdr:rowOff>
              </to>
            </anchor>
          </controlPr>
        </control>
      </mc:Choice>
      <mc:Fallback>
        <control shapeId="107530" r:id="rId3" name="cmbLHres"/>
      </mc:Fallback>
    </mc:AlternateContent>
    <mc:AlternateContent xmlns:mc="http://schemas.openxmlformats.org/markup-compatibility/2006">
      <mc:Choice Requires="x14">
        <control shapeId="107529" r:id="rId5" name="cmbInvert">
          <controlPr defaultSize="0" autoLine="0" linkedCell="PinballInvert" listFillRange="InvertedRange" r:id="rId6">
            <anchor moveWithCells="1">
              <from>
                <xdr:col>3</xdr:col>
                <xdr:colOff>95250</xdr:colOff>
                <xdr:row>22</xdr:row>
                <xdr:rowOff>9525</xdr:rowOff>
              </from>
              <to>
                <xdr:col>5</xdr:col>
                <xdr:colOff>409575</xdr:colOff>
                <xdr:row>22</xdr:row>
                <xdr:rowOff>247650</xdr:rowOff>
              </to>
            </anchor>
          </controlPr>
        </control>
      </mc:Choice>
      <mc:Fallback>
        <control shapeId="107529" r:id="rId5" name="cmbInvert"/>
      </mc:Fallback>
    </mc:AlternateContent>
    <mc:AlternateContent xmlns:mc="http://schemas.openxmlformats.org/markup-compatibility/2006">
      <mc:Choice Requires="x14">
        <control shapeId="107528" r:id="rId7" name="cmbShape">
          <controlPr defaultSize="0" autoLine="0" autoPict="0" linkedCell="PinballShape" listFillRange="ShapeRange" r:id="rId8">
            <anchor moveWithCells="1">
              <from>
                <xdr:col>3</xdr:col>
                <xdr:colOff>142875</xdr:colOff>
                <xdr:row>16</xdr:row>
                <xdr:rowOff>47625</xdr:rowOff>
              </from>
              <to>
                <xdr:col>5</xdr:col>
                <xdr:colOff>142875</xdr:colOff>
                <xdr:row>17</xdr:row>
                <xdr:rowOff>0</xdr:rowOff>
              </to>
            </anchor>
          </controlPr>
        </control>
      </mc:Choice>
      <mc:Fallback>
        <control shapeId="107528" r:id="rId7" name="cmbShape"/>
      </mc:Fallback>
    </mc:AlternateContent>
    <mc:AlternateContent xmlns:mc="http://schemas.openxmlformats.org/markup-compatibility/2006">
      <mc:Choice Requires="x14">
        <control shapeId="107527" r:id="rId9" name="cmbMovement">
          <controlPr defaultSize="0" autoLine="0" autoPict="0" linkedCell="E9" listFillRange="MovementRange" r:id="rId10">
            <anchor moveWithCells="1">
              <from>
                <xdr:col>3</xdr:col>
                <xdr:colOff>142875</xdr:colOff>
                <xdr:row>8</xdr:row>
                <xdr:rowOff>19050</xdr:rowOff>
              </from>
              <to>
                <xdr:col>5</xdr:col>
                <xdr:colOff>85725</xdr:colOff>
                <xdr:row>8</xdr:row>
                <xdr:rowOff>257175</xdr:rowOff>
              </to>
            </anchor>
          </controlPr>
        </control>
      </mc:Choice>
      <mc:Fallback>
        <control shapeId="107527" r:id="rId9" name="cmbMovemen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E9E-0DCA-41D3-8E06-6C146C7FB5DE}">
  <sheetPr codeName="Sheet5"/>
  <dimension ref="A1:C7"/>
  <sheetViews>
    <sheetView workbookViewId="0"/>
  </sheetViews>
  <sheetFormatPr defaultRowHeight="14.25" x14ac:dyDescent="0.2"/>
  <cols>
    <col min="1" max="1" width="17" customWidth="1"/>
    <col min="2" max="2" width="73" customWidth="1"/>
  </cols>
  <sheetData>
    <row r="1" spans="1:3" x14ac:dyDescent="0.2">
      <c r="A1" t="s">
        <v>203</v>
      </c>
      <c r="B1" t="s">
        <v>285</v>
      </c>
      <c r="C1" t="s">
        <v>280</v>
      </c>
    </row>
    <row r="2" spans="1:3" x14ac:dyDescent="0.2">
      <c r="A2" t="s">
        <v>204</v>
      </c>
      <c r="B2" t="s">
        <v>286</v>
      </c>
      <c r="C2" t="s">
        <v>281</v>
      </c>
    </row>
    <row r="3" spans="1:3" x14ac:dyDescent="0.2">
      <c r="A3" t="s">
        <v>205</v>
      </c>
      <c r="B3" t="s">
        <v>287</v>
      </c>
      <c r="C3" t="s">
        <v>282</v>
      </c>
    </row>
    <row r="4" spans="1:3" x14ac:dyDescent="0.2">
      <c r="A4" t="s">
        <v>206</v>
      </c>
      <c r="B4" s="56">
        <v>1883</v>
      </c>
      <c r="C4" t="s">
        <v>283</v>
      </c>
    </row>
    <row r="5" spans="1:3" x14ac:dyDescent="0.2">
      <c r="A5" t="s">
        <v>207</v>
      </c>
      <c r="B5" s="56" t="s">
        <v>288</v>
      </c>
      <c r="C5" t="s">
        <v>284</v>
      </c>
    </row>
    <row r="7" spans="1:3" ht="24" customHeight="1" x14ac:dyDescent="0.2"/>
  </sheetData>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533"/>
  <sheetViews>
    <sheetView workbookViewId="0">
      <selection activeCell="D1" sqref="D1"/>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v>33</v>
      </c>
      <c r="E1">
        <f>CODE(F1)</f>
        <v>65</v>
      </c>
      <c r="F1" t="s">
        <v>15</v>
      </c>
      <c r="G1">
        <v>1</v>
      </c>
      <c r="H1">
        <v>1</v>
      </c>
      <c r="I1">
        <v>1</v>
      </c>
    </row>
    <row r="2" spans="1:13" x14ac:dyDescent="0.2">
      <c r="A2" t="s">
        <v>122</v>
      </c>
      <c r="B2" s="16">
        <f>IF(ISNA(B1),0,Font2!B2)</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3</v>
      </c>
      <c r="C4">
        <f>B4</f>
        <v>3</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0</v>
      </c>
      <c r="C6" s="18">
        <f>IF(A6&lt;=$B$4,VLOOKUP($D1,$E$1:$L$1053,$B$4+3-A6,FALSE),"")</f>
        <v>1</v>
      </c>
      <c r="D6" s="15"/>
    </row>
    <row r="7" spans="1:13" x14ac:dyDescent="0.2">
      <c r="A7">
        <v>1</v>
      </c>
      <c r="B7" s="19">
        <f>IF(A7&lt;=$B$4,VLOOKUP($D2,$E$1:$L$1053,2+A7,FALSE),"")</f>
        <v>0</v>
      </c>
      <c r="C7" s="18">
        <f>IF(A7&lt;=$B$4,VLOOKUP($D2,$E$1:$L$1053,$B$4+3-A7,FALSE),"")</f>
        <v>1</v>
      </c>
      <c r="E7">
        <f>CODE(F7)</f>
        <v>66</v>
      </c>
      <c r="F7" t="s">
        <v>16</v>
      </c>
      <c r="G7">
        <v>1</v>
      </c>
      <c r="H7">
        <v>1</v>
      </c>
      <c r="I7">
        <v>1</v>
      </c>
      <c r="M7" s="12"/>
    </row>
    <row r="8" spans="1:13" x14ac:dyDescent="0.2">
      <c r="A8">
        <v>1</v>
      </c>
      <c r="B8" s="19">
        <f>IF(A8&lt;=$B$4,VLOOKUP($D3,$E$1:$L$1053,2+A8,FALSE),"")</f>
        <v>0</v>
      </c>
      <c r="C8" s="18">
        <f>IF(A8&lt;=$B$4,VLOOKUP($D3,$E$1:$L$1053,$B$4+3-A8,FALSE),"")</f>
        <v>0</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0</v>
      </c>
      <c r="C10" s="18">
        <f>IF(A10&lt;=$B$4,VLOOKUP($D5,$E$1:$L$1053,$B$4+3-A10,FALSE),"")</f>
        <v>0</v>
      </c>
      <c r="E10">
        <f>E9+256</f>
        <v>834</v>
      </c>
      <c r="F10">
        <v>0</v>
      </c>
      <c r="G10">
        <v>1</v>
      </c>
      <c r="I10">
        <v>1</v>
      </c>
    </row>
    <row r="11" spans="1:13" x14ac:dyDescent="0.2">
      <c r="A11">
        <v>2</v>
      </c>
      <c r="B11" s="18">
        <f>IF(A11&lt;=$B$4,VLOOKUP($D1,$E$1:$L$1053,2+A11,FALSE),"")</f>
        <v>1</v>
      </c>
      <c r="C11" s="19">
        <f>IF(A11&lt;=$B$4,VLOOKUP($D1,$E$1:$L$1053,$B$4+3-A11,FALSE),"")</f>
        <v>1</v>
      </c>
      <c r="E11">
        <f>E10+256</f>
        <v>1090</v>
      </c>
      <c r="G11">
        <v>1</v>
      </c>
      <c r="H11">
        <v>1</v>
      </c>
      <c r="I11">
        <v>1</v>
      </c>
    </row>
    <row r="12" spans="1:13" x14ac:dyDescent="0.2">
      <c r="A12">
        <v>2</v>
      </c>
      <c r="B12" s="18">
        <f>IF(A12&lt;=$B$4,VLOOKUP($D2,$E$1:$L$1053,2+A12,FALSE),"")</f>
        <v>1</v>
      </c>
      <c r="C12" s="19">
        <f>IF(A12&lt;=$B$4,VLOOKUP($D2,$E$1:$L$1053,$B$4+3-A12,FALSE),"")</f>
        <v>1</v>
      </c>
    </row>
    <row r="13" spans="1:13" x14ac:dyDescent="0.2">
      <c r="A13">
        <v>2</v>
      </c>
      <c r="B13" s="18">
        <f>IF(A13&lt;=$B$4,VLOOKUP($D3,$E$1:$L$1053,2+A13,FALSE),"")</f>
        <v>1</v>
      </c>
      <c r="C13" s="19">
        <f>IF(A13&lt;=$B$4,VLOOKUP($D3,$E$1:$L$1053,$B$4+3-A13,FALSE),"")</f>
        <v>1</v>
      </c>
      <c r="E13">
        <f>CODE(F13)</f>
        <v>67</v>
      </c>
      <c r="F13" t="s">
        <v>17</v>
      </c>
      <c r="G13">
        <v>1</v>
      </c>
      <c r="H13">
        <v>1</v>
      </c>
      <c r="I13">
        <v>1</v>
      </c>
    </row>
    <row r="14" spans="1:13" x14ac:dyDescent="0.2">
      <c r="A14">
        <v>2</v>
      </c>
      <c r="B14" s="18">
        <f>IF(A14&lt;=$B$4,VLOOKUP($D4,$E$1:$L$1053,2+A14,FALSE),"")</f>
        <v>0</v>
      </c>
      <c r="C14" s="19">
        <f>IF(A14&lt;=$B$4,VLOOKUP($D4,$E$1:$L$1053,$B$4+3-A14,FALSE),"")</f>
        <v>0</v>
      </c>
      <c r="E14">
        <f>E13+256</f>
        <v>323</v>
      </c>
      <c r="F14">
        <v>1</v>
      </c>
      <c r="G14">
        <v>1</v>
      </c>
    </row>
    <row r="15" spans="1:13" x14ac:dyDescent="0.2">
      <c r="A15">
        <v>2</v>
      </c>
      <c r="B15" s="18">
        <f>IF(A15&lt;=$B$4,VLOOKUP($D5,$E$1:$L$1053,2+A15,FALSE),"")</f>
        <v>1</v>
      </c>
      <c r="C15" s="19">
        <f>IF(A15&lt;=$B$4,VLOOKUP($D5,$E$1:$L$1053,$B$4+3-A15,FALSE),"")</f>
        <v>1</v>
      </c>
      <c r="E15">
        <f>E14+256</f>
        <v>579</v>
      </c>
      <c r="F15">
        <v>3</v>
      </c>
      <c r="G15">
        <v>1</v>
      </c>
    </row>
    <row r="16" spans="1:13" x14ac:dyDescent="0.2">
      <c r="A16">
        <v>3</v>
      </c>
      <c r="B16" s="19">
        <f>IF(A16&lt;=$B$4,VLOOKUP($D1,$E$1:$L$1053,2+A16,FALSE),"")</f>
        <v>1</v>
      </c>
      <c r="C16" s="18">
        <f>IF(A16&lt;=$B$4,VLOOKUP($D1,$E$1:$L$1053,$B$4+3-A16,FALSE),"")</f>
        <v>0</v>
      </c>
      <c r="E16">
        <f>E15+256</f>
        <v>835</v>
      </c>
      <c r="F16">
        <v>0</v>
      </c>
      <c r="G16">
        <v>1</v>
      </c>
    </row>
    <row r="17" spans="1:9" x14ac:dyDescent="0.2">
      <c r="A17">
        <v>3</v>
      </c>
      <c r="B17" s="19">
        <f>IF(A17&lt;=$B$4,VLOOKUP($D2,$E$1:$L$1053,2+A17,FALSE),"")</f>
        <v>1</v>
      </c>
      <c r="C17" s="18">
        <f>IF(A17&lt;=$B$4,VLOOKUP($D2,$E$1:$L$1053,$B$4+3-A17,FALSE),"")</f>
        <v>0</v>
      </c>
      <c r="E17">
        <f>E16+256</f>
        <v>1091</v>
      </c>
      <c r="G17">
        <v>1</v>
      </c>
      <c r="H17">
        <v>1</v>
      </c>
      <c r="I17">
        <v>1</v>
      </c>
    </row>
    <row r="18" spans="1:9" x14ac:dyDescent="0.2">
      <c r="A18">
        <v>3</v>
      </c>
      <c r="B18" s="19">
        <f>IF(A18&lt;=$B$4,VLOOKUP($D3,$E$1:$L$1053,2+A18,FALSE),"")</f>
        <v>0</v>
      </c>
      <c r="C18" s="18">
        <f>IF(A18&lt;=$B$4,VLOOKUP($D3,$E$1:$L$1053,$B$4+3-A18,FALSE),"")</f>
        <v>0</v>
      </c>
    </row>
    <row r="19" spans="1:9" x14ac:dyDescent="0.2">
      <c r="A19">
        <v>3</v>
      </c>
      <c r="B19" s="19">
        <f>IF(A19&lt;=$B$4,VLOOKUP($D4,$E$1:$L$1053,2+A19,FALSE),"")</f>
        <v>0</v>
      </c>
      <c r="C19" s="18">
        <f>IF(A19&lt;=$B$4,VLOOKUP($D4,$E$1:$L$1053,$B$4+3-A19,FALSE),"")</f>
        <v>0</v>
      </c>
      <c r="E19">
        <f>CODE(F19)</f>
        <v>68</v>
      </c>
      <c r="F19" t="s">
        <v>18</v>
      </c>
      <c r="G19">
        <v>1</v>
      </c>
      <c r="H19">
        <v>1</v>
      </c>
    </row>
    <row r="20" spans="1:9" x14ac:dyDescent="0.2">
      <c r="A20">
        <v>3</v>
      </c>
      <c r="B20" s="19">
        <f>IF(A20&lt;=$B$4,VLOOKUP($D5,$E$1:$L$1053,2+A20,FALSE),"")</f>
        <v>0</v>
      </c>
      <c r="C20" s="18">
        <f>IF(A20&lt;=$B$4,VLOOKUP($D5,$E$1:$L$1053,$B$4+3-A20,FALSE),"")</f>
        <v>0</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c r="I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c r="I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G37">
        <v>1</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G41">
        <v>1</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3</v>
      </c>
      <c r="C48">
        <f>B48</f>
        <v>3</v>
      </c>
    </row>
    <row r="49" spans="1:9" x14ac:dyDescent="0.2">
      <c r="B49">
        <f>B5</f>
        <v>0</v>
      </c>
      <c r="C49">
        <f>B49</f>
        <v>0</v>
      </c>
      <c r="E49">
        <f>CODE(F49)</f>
        <v>73</v>
      </c>
      <c r="F49" t="s">
        <v>24</v>
      </c>
      <c r="G49">
        <v>1</v>
      </c>
      <c r="H49">
        <v>1</v>
      </c>
      <c r="I49">
        <v>1</v>
      </c>
    </row>
    <row r="50" spans="1:9" x14ac:dyDescent="0.2">
      <c r="A50">
        <v>1</v>
      </c>
      <c r="B50" s="18">
        <f>B6</f>
        <v>0</v>
      </c>
      <c r="C50" s="19">
        <f t="shared" ref="C50:C55" si="1">B74</f>
        <v>0</v>
      </c>
      <c r="E50">
        <f>E49+256</f>
        <v>329</v>
      </c>
      <c r="F50">
        <v>1</v>
      </c>
      <c r="H50">
        <v>1</v>
      </c>
    </row>
    <row r="51" spans="1:9" x14ac:dyDescent="0.2">
      <c r="A51">
        <v>2</v>
      </c>
      <c r="B51" s="18">
        <f>B11</f>
        <v>1</v>
      </c>
      <c r="C51" s="19">
        <f t="shared" si="1"/>
        <v>1</v>
      </c>
      <c r="E51">
        <f>E50+256</f>
        <v>585</v>
      </c>
      <c r="F51">
        <v>3</v>
      </c>
      <c r="H51">
        <v>1</v>
      </c>
    </row>
    <row r="52" spans="1:9" x14ac:dyDescent="0.2">
      <c r="A52">
        <v>3</v>
      </c>
      <c r="B52" s="18">
        <f>B16</f>
        <v>1</v>
      </c>
      <c r="C52" s="19">
        <f t="shared" si="1"/>
        <v>0</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0</v>
      </c>
      <c r="C56" s="18">
        <f t="shared" ref="C56:C61" si="2">B68</f>
        <v>0</v>
      </c>
      <c r="E56">
        <f>E55+256</f>
        <v>330</v>
      </c>
      <c r="F56">
        <v>1</v>
      </c>
      <c r="I56">
        <v>1</v>
      </c>
    </row>
    <row r="57" spans="1:9" x14ac:dyDescent="0.2">
      <c r="A57">
        <v>2</v>
      </c>
      <c r="B57" s="19">
        <f>B12</f>
        <v>1</v>
      </c>
      <c r="C57" s="18">
        <f t="shared" si="2"/>
        <v>0</v>
      </c>
      <c r="E57">
        <f>E56+256</f>
        <v>586</v>
      </c>
      <c r="F57">
        <v>3</v>
      </c>
      <c r="I57">
        <v>1</v>
      </c>
    </row>
    <row r="58" spans="1:9" x14ac:dyDescent="0.2">
      <c r="A58">
        <v>3</v>
      </c>
      <c r="B58" s="19">
        <f>B17</f>
        <v>1</v>
      </c>
      <c r="C58" s="18">
        <f t="shared" si="2"/>
        <v>0</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0</v>
      </c>
      <c r="C62" s="19">
        <f t="shared" ref="C62:C67" si="3">B62</f>
        <v>0</v>
      </c>
      <c r="E62">
        <f>E61+256</f>
        <v>331</v>
      </c>
      <c r="F62">
        <v>1</v>
      </c>
      <c r="G62">
        <v>1</v>
      </c>
      <c r="I62">
        <v>1</v>
      </c>
    </row>
    <row r="63" spans="1:9" x14ac:dyDescent="0.2">
      <c r="A63">
        <v>2</v>
      </c>
      <c r="B63" s="18">
        <f>B13</f>
        <v>1</v>
      </c>
      <c r="C63" s="19">
        <f t="shared" si="3"/>
        <v>1</v>
      </c>
      <c r="E63">
        <f>E62+256</f>
        <v>587</v>
      </c>
      <c r="F63">
        <v>3</v>
      </c>
      <c r="G63">
        <v>1</v>
      </c>
      <c r="H63">
        <v>1</v>
      </c>
    </row>
    <row r="64" spans="1:9" x14ac:dyDescent="0.2">
      <c r="A64">
        <v>3</v>
      </c>
      <c r="B64" s="18">
        <f>B18</f>
        <v>0</v>
      </c>
      <c r="C64" s="19">
        <f t="shared" si="3"/>
        <v>0</v>
      </c>
      <c r="E64">
        <f>E63+256</f>
        <v>843</v>
      </c>
      <c r="F64">
        <v>0</v>
      </c>
      <c r="G64">
        <v>1</v>
      </c>
      <c r="I64">
        <v>1</v>
      </c>
    </row>
    <row r="65" spans="1:9" x14ac:dyDescent="0.2">
      <c r="A65">
        <v>4</v>
      </c>
      <c r="B65" s="18" t="str">
        <f>B23</f>
        <v/>
      </c>
      <c r="C65" s="19" t="str">
        <f t="shared" si="3"/>
        <v/>
      </c>
      <c r="E65">
        <f>E64+256</f>
        <v>1099</v>
      </c>
      <c r="G65">
        <v>1</v>
      </c>
      <c r="I65">
        <v>1</v>
      </c>
    </row>
    <row r="66" spans="1:9" x14ac:dyDescent="0.2">
      <c r="A66">
        <v>5</v>
      </c>
      <c r="B66" s="18" t="str">
        <f>B28</f>
        <v/>
      </c>
      <c r="C66" s="19" t="str">
        <f t="shared" si="3"/>
        <v/>
      </c>
    </row>
    <row r="67" spans="1:9" x14ac:dyDescent="0.2">
      <c r="A67">
        <v>6</v>
      </c>
      <c r="B67" s="18" t="str">
        <f>B33</f>
        <v/>
      </c>
      <c r="C67" s="19" t="str">
        <f t="shared" si="3"/>
        <v/>
      </c>
      <c r="E67">
        <f>CODE(F67)</f>
        <v>76</v>
      </c>
      <c r="F67" t="s">
        <v>27</v>
      </c>
      <c r="G67">
        <v>1</v>
      </c>
    </row>
    <row r="68" spans="1:9" x14ac:dyDescent="0.2">
      <c r="A68">
        <v>1</v>
      </c>
      <c r="B68" s="19">
        <f>B9</f>
        <v>0</v>
      </c>
      <c r="C68" s="18">
        <f t="shared" ref="C68:C73" si="4">B56</f>
        <v>0</v>
      </c>
      <c r="E68">
        <f>E67+256</f>
        <v>332</v>
      </c>
      <c r="F68">
        <v>1</v>
      </c>
      <c r="G68">
        <v>1</v>
      </c>
    </row>
    <row r="69" spans="1:9" x14ac:dyDescent="0.2">
      <c r="A69">
        <v>2</v>
      </c>
      <c r="B69" s="19">
        <f>B14</f>
        <v>0</v>
      </c>
      <c r="C69" s="18">
        <f t="shared" si="4"/>
        <v>1</v>
      </c>
      <c r="E69">
        <f>E68+256</f>
        <v>588</v>
      </c>
      <c r="F69">
        <v>3</v>
      </c>
      <c r="G69">
        <v>1</v>
      </c>
    </row>
    <row r="70" spans="1:9" x14ac:dyDescent="0.2">
      <c r="A70">
        <v>3</v>
      </c>
      <c r="B70" s="19">
        <f>B19</f>
        <v>0</v>
      </c>
      <c r="C70" s="18">
        <f t="shared" si="4"/>
        <v>1</v>
      </c>
      <c r="E70">
        <f>E69+256</f>
        <v>844</v>
      </c>
      <c r="F70">
        <v>0</v>
      </c>
      <c r="G70">
        <v>1</v>
      </c>
    </row>
    <row r="71" spans="1:9" x14ac:dyDescent="0.2">
      <c r="A71">
        <v>4</v>
      </c>
      <c r="B71" s="19" t="str">
        <f>B24</f>
        <v/>
      </c>
      <c r="C71" s="18" t="str">
        <f t="shared" si="4"/>
        <v/>
      </c>
      <c r="E71">
        <f>E70+256</f>
        <v>1100</v>
      </c>
      <c r="G71">
        <v>1</v>
      </c>
      <c r="H71">
        <v>1</v>
      </c>
      <c r="I71">
        <v>1</v>
      </c>
    </row>
    <row r="72" spans="1:9" x14ac:dyDescent="0.2">
      <c r="A72">
        <v>5</v>
      </c>
      <c r="B72" s="19" t="str">
        <f>B29</f>
        <v/>
      </c>
      <c r="C72" s="18" t="str">
        <f t="shared" si="4"/>
        <v/>
      </c>
    </row>
    <row r="73" spans="1:9" x14ac:dyDescent="0.2">
      <c r="A73">
        <v>6</v>
      </c>
      <c r="B73" s="19" t="str">
        <f>B34</f>
        <v/>
      </c>
      <c r="C73" s="18" t="str">
        <f t="shared" si="4"/>
        <v/>
      </c>
      <c r="E73">
        <f>CODE(F73)</f>
        <v>77</v>
      </c>
      <c r="F73" t="s">
        <v>28</v>
      </c>
      <c r="G73">
        <v>1</v>
      </c>
      <c r="I73">
        <v>1</v>
      </c>
    </row>
    <row r="74" spans="1:9" x14ac:dyDescent="0.2">
      <c r="A74">
        <v>1</v>
      </c>
      <c r="B74" s="18">
        <f>B10</f>
        <v>0</v>
      </c>
      <c r="C74" s="19">
        <f t="shared" ref="C74:C79" si="5">B50</f>
        <v>0</v>
      </c>
      <c r="E74">
        <f>E73+256</f>
        <v>333</v>
      </c>
      <c r="F74">
        <v>1</v>
      </c>
      <c r="G74">
        <v>1</v>
      </c>
      <c r="H74">
        <v>1</v>
      </c>
      <c r="I74">
        <v>1</v>
      </c>
    </row>
    <row r="75" spans="1:9" x14ac:dyDescent="0.2">
      <c r="A75">
        <v>2</v>
      </c>
      <c r="B75" s="18">
        <f>B15</f>
        <v>1</v>
      </c>
      <c r="C75" s="19">
        <f t="shared" si="5"/>
        <v>1</v>
      </c>
      <c r="E75">
        <f>E74+256</f>
        <v>589</v>
      </c>
      <c r="F75">
        <v>3</v>
      </c>
      <c r="G75">
        <v>1</v>
      </c>
      <c r="H75">
        <v>1</v>
      </c>
      <c r="I75">
        <v>1</v>
      </c>
    </row>
    <row r="76" spans="1:9" x14ac:dyDescent="0.2">
      <c r="A76">
        <v>3</v>
      </c>
      <c r="B76" s="18">
        <f>B20</f>
        <v>0</v>
      </c>
      <c r="C76" s="19">
        <f t="shared" si="5"/>
        <v>1</v>
      </c>
      <c r="E76">
        <f>E75+256</f>
        <v>845</v>
      </c>
      <c r="F76">
        <v>0</v>
      </c>
      <c r="G76">
        <v>1</v>
      </c>
      <c r="I76">
        <v>1</v>
      </c>
    </row>
    <row r="77" spans="1:9" x14ac:dyDescent="0.2">
      <c r="A77">
        <v>4</v>
      </c>
      <c r="B77" s="18" t="str">
        <f>B25</f>
        <v/>
      </c>
      <c r="C77" s="19" t="str">
        <f t="shared" si="5"/>
        <v/>
      </c>
      <c r="E77">
        <f>E76+256</f>
        <v>1101</v>
      </c>
      <c r="G77">
        <v>1</v>
      </c>
      <c r="I77">
        <v>1</v>
      </c>
    </row>
    <row r="78" spans="1:9" x14ac:dyDescent="0.2">
      <c r="A78">
        <v>5</v>
      </c>
      <c r="B78" s="18" t="str">
        <f>B30</f>
        <v/>
      </c>
      <c r="C78" s="19" t="str">
        <f t="shared" si="5"/>
        <v/>
      </c>
    </row>
    <row r="79" spans="1:9" x14ac:dyDescent="0.2">
      <c r="A79">
        <v>6</v>
      </c>
      <c r="B79" s="18" t="str">
        <f>B35</f>
        <v/>
      </c>
      <c r="C79" s="19" t="str">
        <f t="shared" si="5"/>
        <v/>
      </c>
      <c r="E79">
        <f>CODE(F79)</f>
        <v>78</v>
      </c>
      <c r="F79" t="s">
        <v>29</v>
      </c>
      <c r="G79">
        <v>1</v>
      </c>
      <c r="H79">
        <v>1</v>
      </c>
      <c r="I79">
        <v>1</v>
      </c>
    </row>
    <row r="80" spans="1:9"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G85">
        <v>1</v>
      </c>
      <c r="H85">
        <v>1</v>
      </c>
      <c r="I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G89">
        <v>1</v>
      </c>
      <c r="H89">
        <v>1</v>
      </c>
      <c r="I89">
        <v>1</v>
      </c>
    </row>
    <row r="91" spans="5:9" x14ac:dyDescent="0.2">
      <c r="E91">
        <f>CODE(F91)</f>
        <v>80</v>
      </c>
      <c r="F91" t="s">
        <v>31</v>
      </c>
      <c r="G91">
        <v>1</v>
      </c>
      <c r="H91">
        <v>1</v>
      </c>
      <c r="I91">
        <v>1</v>
      </c>
    </row>
    <row r="92" spans="5:9" x14ac:dyDescent="0.2">
      <c r="E92">
        <f>E91+256</f>
        <v>336</v>
      </c>
      <c r="F92">
        <v>1</v>
      </c>
      <c r="G92">
        <v>1</v>
      </c>
      <c r="I92">
        <v>1</v>
      </c>
    </row>
    <row r="93" spans="5:9" x14ac:dyDescent="0.2">
      <c r="E93">
        <f>E92+256</f>
        <v>592</v>
      </c>
      <c r="F93">
        <v>3</v>
      </c>
      <c r="G93">
        <v>1</v>
      </c>
      <c r="H93">
        <v>1</v>
      </c>
      <c r="I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H99">
        <v>1</v>
      </c>
      <c r="I99">
        <v>1</v>
      </c>
    </row>
    <row r="100" spans="5:9" x14ac:dyDescent="0.2">
      <c r="E100">
        <f>E99+256</f>
        <v>849</v>
      </c>
      <c r="F100">
        <v>0</v>
      </c>
      <c r="I100">
        <v>1</v>
      </c>
    </row>
    <row r="101" spans="5:9" x14ac:dyDescent="0.2">
      <c r="E101">
        <f>E100+256</f>
        <v>1105</v>
      </c>
      <c r="I101">
        <v>1</v>
      </c>
    </row>
    <row r="103" spans="5:9" x14ac:dyDescent="0.2">
      <c r="E103">
        <f>CODE(F103)</f>
        <v>82</v>
      </c>
      <c r="F103" t="s">
        <v>33</v>
      </c>
      <c r="G103">
        <v>1</v>
      </c>
      <c r="H103">
        <v>1</v>
      </c>
      <c r="I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G109">
        <v>1</v>
      </c>
      <c r="H109">
        <v>1</v>
      </c>
      <c r="I109">
        <v>1</v>
      </c>
    </row>
    <row r="110" spans="5:9" x14ac:dyDescent="0.2">
      <c r="E110">
        <f>E109+256</f>
        <v>339</v>
      </c>
      <c r="F110">
        <v>1</v>
      </c>
      <c r="G110">
        <v>1</v>
      </c>
    </row>
    <row r="111" spans="5:9" x14ac:dyDescent="0.2">
      <c r="E111">
        <f>E110+256</f>
        <v>595</v>
      </c>
      <c r="F111">
        <v>3</v>
      </c>
      <c r="G111">
        <v>1</v>
      </c>
      <c r="H111">
        <v>1</v>
      </c>
      <c r="I111">
        <v>1</v>
      </c>
    </row>
    <row r="112" spans="5:9" x14ac:dyDescent="0.2">
      <c r="E112">
        <f>E111+256</f>
        <v>851</v>
      </c>
      <c r="F112">
        <v>0</v>
      </c>
      <c r="I112">
        <v>1</v>
      </c>
    </row>
    <row r="113" spans="5:9" x14ac:dyDescent="0.2">
      <c r="E113">
        <f>E112+256</f>
        <v>1107</v>
      </c>
      <c r="G113">
        <v>1</v>
      </c>
      <c r="H113">
        <v>1</v>
      </c>
      <c r="I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G125">
        <v>1</v>
      </c>
      <c r="H125">
        <v>1</v>
      </c>
      <c r="I125">
        <v>1</v>
      </c>
    </row>
    <row r="127" spans="5:9" x14ac:dyDescent="0.2">
      <c r="E127">
        <f>CODE(F127)</f>
        <v>86</v>
      </c>
      <c r="F127" t="s">
        <v>37</v>
      </c>
      <c r="G127">
        <v>1</v>
      </c>
      <c r="I127">
        <v>1</v>
      </c>
    </row>
    <row r="128" spans="5:9" x14ac:dyDescent="0.2">
      <c r="E128">
        <f>E127+256</f>
        <v>342</v>
      </c>
      <c r="F128">
        <v>1</v>
      </c>
      <c r="G128">
        <v>1</v>
      </c>
      <c r="I128">
        <v>1</v>
      </c>
    </row>
    <row r="129" spans="5:9" x14ac:dyDescent="0.2">
      <c r="E129">
        <f>E128+256</f>
        <v>598</v>
      </c>
      <c r="F129">
        <v>3</v>
      </c>
      <c r="G129">
        <v>1</v>
      </c>
      <c r="I129">
        <v>1</v>
      </c>
    </row>
    <row r="130" spans="5:9" x14ac:dyDescent="0.2">
      <c r="E130">
        <f>E129+256</f>
        <v>854</v>
      </c>
      <c r="F130">
        <v>0</v>
      </c>
      <c r="G130">
        <v>1</v>
      </c>
      <c r="I130">
        <v>1</v>
      </c>
    </row>
    <row r="131" spans="5:9" x14ac:dyDescent="0.2">
      <c r="E131">
        <f>E130+256</f>
        <v>1110</v>
      </c>
      <c r="H131">
        <v>1</v>
      </c>
    </row>
    <row r="133" spans="5:9" x14ac:dyDescent="0.2">
      <c r="E133">
        <f>CODE(F133)</f>
        <v>87</v>
      </c>
      <c r="F133" t="s">
        <v>38</v>
      </c>
      <c r="G133">
        <v>1</v>
      </c>
      <c r="I133">
        <v>1</v>
      </c>
    </row>
    <row r="134" spans="5:9" x14ac:dyDescent="0.2">
      <c r="E134">
        <f>E133+256</f>
        <v>343</v>
      </c>
      <c r="F134">
        <v>1</v>
      </c>
      <c r="G134">
        <v>1</v>
      </c>
      <c r="I134">
        <v>1</v>
      </c>
    </row>
    <row r="135" spans="5:9" x14ac:dyDescent="0.2">
      <c r="E135">
        <f>E134+256</f>
        <v>599</v>
      </c>
      <c r="F135">
        <v>3</v>
      </c>
      <c r="G135">
        <v>1</v>
      </c>
      <c r="H135">
        <v>1</v>
      </c>
      <c r="I135">
        <v>1</v>
      </c>
    </row>
    <row r="136" spans="5:9" x14ac:dyDescent="0.2">
      <c r="E136">
        <f>E135+256</f>
        <v>855</v>
      </c>
      <c r="F136">
        <v>0</v>
      </c>
      <c r="G136">
        <v>1</v>
      </c>
      <c r="H136">
        <v>1</v>
      </c>
      <c r="I136">
        <v>1</v>
      </c>
    </row>
    <row r="137" spans="5:9" x14ac:dyDescent="0.2">
      <c r="E137">
        <f>E136+256</f>
        <v>1111</v>
      </c>
      <c r="G137">
        <v>1</v>
      </c>
      <c r="I137">
        <v>1</v>
      </c>
    </row>
    <row r="139" spans="5:9" x14ac:dyDescent="0.2">
      <c r="E139">
        <f>CODE(F139)</f>
        <v>88</v>
      </c>
      <c r="F139" t="s">
        <v>39</v>
      </c>
      <c r="G139">
        <v>1</v>
      </c>
      <c r="I139">
        <v>1</v>
      </c>
    </row>
    <row r="140" spans="5:9" x14ac:dyDescent="0.2">
      <c r="E140">
        <f>E139+256</f>
        <v>344</v>
      </c>
      <c r="F140">
        <v>1</v>
      </c>
      <c r="G140">
        <v>1</v>
      </c>
      <c r="I140">
        <v>1</v>
      </c>
    </row>
    <row r="141" spans="5:9" x14ac:dyDescent="0.2">
      <c r="E141">
        <f>E140+256</f>
        <v>600</v>
      </c>
      <c r="F141">
        <v>3</v>
      </c>
      <c r="H141">
        <v>1</v>
      </c>
    </row>
    <row r="142" spans="5:9" x14ac:dyDescent="0.2">
      <c r="E142">
        <f>E141+256</f>
        <v>856</v>
      </c>
      <c r="F142">
        <v>0</v>
      </c>
      <c r="G142">
        <v>1</v>
      </c>
      <c r="I142">
        <v>1</v>
      </c>
    </row>
    <row r="143" spans="5:9"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G147">
        <v>1</v>
      </c>
      <c r="H147">
        <v>1</v>
      </c>
      <c r="I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c r="G157">
        <v>1</v>
      </c>
      <c r="H157">
        <v>1</v>
      </c>
    </row>
    <row r="158" spans="5:9" x14ac:dyDescent="0.2">
      <c r="E158">
        <f>E157+256</f>
        <v>353</v>
      </c>
      <c r="F158">
        <v>1</v>
      </c>
      <c r="I158">
        <v>1</v>
      </c>
    </row>
    <row r="159" spans="5:9" x14ac:dyDescent="0.2">
      <c r="E159">
        <f>E158+256</f>
        <v>609</v>
      </c>
      <c r="F159">
        <v>3</v>
      </c>
      <c r="H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c r="H169">
        <v>1</v>
      </c>
      <c r="I169">
        <v>1</v>
      </c>
    </row>
    <row r="170" spans="5:9" x14ac:dyDescent="0.2">
      <c r="E170">
        <f>E169+256</f>
        <v>355</v>
      </c>
      <c r="F170">
        <v>1</v>
      </c>
      <c r="G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c r="H181">
        <v>1</v>
      </c>
    </row>
    <row r="182" spans="5:9" x14ac:dyDescent="0.2">
      <c r="E182">
        <f>E181+256</f>
        <v>357</v>
      </c>
      <c r="F182">
        <v>1</v>
      </c>
      <c r="G182">
        <v>1</v>
      </c>
      <c r="I182">
        <v>1</v>
      </c>
    </row>
    <row r="183" spans="5:9" x14ac:dyDescent="0.2">
      <c r="E183">
        <f>E182+256</f>
        <v>613</v>
      </c>
      <c r="F183">
        <v>3</v>
      </c>
      <c r="G183">
        <v>1</v>
      </c>
      <c r="H183">
        <v>1</v>
      </c>
      <c r="I183">
        <v>1</v>
      </c>
    </row>
    <row r="184" spans="5:9" x14ac:dyDescent="0.2">
      <c r="E184">
        <f>E183+256</f>
        <v>869</v>
      </c>
      <c r="F184">
        <v>0</v>
      </c>
      <c r="G184">
        <v>1</v>
      </c>
    </row>
    <row r="185" spans="5:9" x14ac:dyDescent="0.2">
      <c r="E185">
        <f>E184+256</f>
        <v>1125</v>
      </c>
      <c r="H185">
        <v>1</v>
      </c>
      <c r="I185">
        <v>1</v>
      </c>
    </row>
    <row r="187" spans="5:9" x14ac:dyDescent="0.2">
      <c r="E187">
        <f>CODE(F187)</f>
        <v>102</v>
      </c>
      <c r="F187" t="s">
        <v>47</v>
      </c>
      <c r="I187">
        <v>1</v>
      </c>
    </row>
    <row r="188" spans="5:9" x14ac:dyDescent="0.2">
      <c r="E188">
        <f>E187+256</f>
        <v>358</v>
      </c>
      <c r="F188">
        <v>1</v>
      </c>
      <c r="H188">
        <v>1</v>
      </c>
    </row>
    <row r="189" spans="5:9" x14ac:dyDescent="0.2">
      <c r="E189">
        <f>E188+256</f>
        <v>614</v>
      </c>
      <c r="F189">
        <v>3</v>
      </c>
      <c r="G189">
        <v>1</v>
      </c>
      <c r="H189">
        <v>1</v>
      </c>
      <c r="I189">
        <v>1</v>
      </c>
    </row>
    <row r="190" spans="5:9" x14ac:dyDescent="0.2">
      <c r="E190">
        <f>E189+256</f>
        <v>870</v>
      </c>
      <c r="F190">
        <v>0</v>
      </c>
      <c r="H190">
        <v>1</v>
      </c>
    </row>
    <row r="191" spans="5:9" x14ac:dyDescent="0.2">
      <c r="E191">
        <f>E190+256</f>
        <v>1126</v>
      </c>
      <c r="H191">
        <v>1</v>
      </c>
    </row>
    <row r="193" spans="5:9" x14ac:dyDescent="0.2">
      <c r="E193">
        <f>CODE(F193)</f>
        <v>103</v>
      </c>
      <c r="F193" t="s">
        <v>48</v>
      </c>
      <c r="H193">
        <v>1</v>
      </c>
    </row>
    <row r="194" spans="5:9" x14ac:dyDescent="0.2">
      <c r="E194">
        <f>E193+256</f>
        <v>359</v>
      </c>
      <c r="F194">
        <v>1</v>
      </c>
      <c r="G194">
        <v>1</v>
      </c>
      <c r="I194">
        <v>1</v>
      </c>
    </row>
    <row r="195" spans="5:9" x14ac:dyDescent="0.2">
      <c r="E195">
        <f>E194+256</f>
        <v>615</v>
      </c>
      <c r="F195">
        <v>3</v>
      </c>
      <c r="H195">
        <v>1</v>
      </c>
      <c r="I195">
        <v>1</v>
      </c>
    </row>
    <row r="196" spans="5:9" x14ac:dyDescent="0.2">
      <c r="E196">
        <f>E195+256</f>
        <v>871</v>
      </c>
      <c r="F196">
        <v>0</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c r="I218">
        <v>1</v>
      </c>
    </row>
    <row r="219" spans="5:9" x14ac:dyDescent="0.2">
      <c r="E219">
        <f>E218+256</f>
        <v>619</v>
      </c>
      <c r="F219">
        <v>3</v>
      </c>
      <c r="G219">
        <v>1</v>
      </c>
      <c r="H219">
        <v>1</v>
      </c>
    </row>
    <row r="220" spans="5:9" x14ac:dyDescent="0.2">
      <c r="E220">
        <f>E219+256</f>
        <v>875</v>
      </c>
      <c r="F220">
        <v>0</v>
      </c>
      <c r="G220">
        <v>1</v>
      </c>
      <c r="I220">
        <v>1</v>
      </c>
    </row>
    <row r="221" spans="5:9" x14ac:dyDescent="0.2">
      <c r="E221">
        <f>E220+256</f>
        <v>1131</v>
      </c>
      <c r="G221">
        <v>1</v>
      </c>
      <c r="I221">
        <v>1</v>
      </c>
    </row>
    <row r="223" spans="5:9" x14ac:dyDescent="0.2">
      <c r="E223">
        <f>CODE(F223)</f>
        <v>108</v>
      </c>
      <c r="F223" t="s">
        <v>53</v>
      </c>
      <c r="G223">
        <v>1</v>
      </c>
    </row>
    <row r="224" spans="5:9" x14ac:dyDescent="0.2">
      <c r="E224">
        <f>E223+256</f>
        <v>364</v>
      </c>
      <c r="F224">
        <v>1</v>
      </c>
      <c r="G224">
        <v>1</v>
      </c>
    </row>
    <row r="225" spans="5:9" x14ac:dyDescent="0.2">
      <c r="E225">
        <f>E224+256</f>
        <v>620</v>
      </c>
      <c r="F225">
        <v>3</v>
      </c>
      <c r="G225">
        <v>1</v>
      </c>
    </row>
    <row r="226" spans="5:9" x14ac:dyDescent="0.2">
      <c r="E226">
        <f>E225+256</f>
        <v>876</v>
      </c>
      <c r="F226">
        <v>0</v>
      </c>
      <c r="G226">
        <v>1</v>
      </c>
    </row>
    <row r="227" spans="5:9" x14ac:dyDescent="0.2">
      <c r="E227">
        <f>E226+256</f>
        <v>1132</v>
      </c>
      <c r="H227">
        <v>1</v>
      </c>
      <c r="I227">
        <v>1</v>
      </c>
    </row>
    <row r="229" spans="5:9" x14ac:dyDescent="0.2">
      <c r="E229">
        <f>CODE(F229)</f>
        <v>109</v>
      </c>
      <c r="F229" t="s">
        <v>54</v>
      </c>
      <c r="G229">
        <v>1</v>
      </c>
      <c r="H229">
        <v>1</v>
      </c>
    </row>
    <row r="230" spans="5:9" x14ac:dyDescent="0.2">
      <c r="E230">
        <f>E229+256</f>
        <v>365</v>
      </c>
      <c r="F230">
        <v>1</v>
      </c>
      <c r="G230">
        <v>1</v>
      </c>
      <c r="H230">
        <v>1</v>
      </c>
      <c r="I230">
        <v>1</v>
      </c>
    </row>
    <row r="231" spans="5:9" x14ac:dyDescent="0.2">
      <c r="E231">
        <f>E230+256</f>
        <v>621</v>
      </c>
      <c r="F231">
        <v>3</v>
      </c>
      <c r="G231">
        <v>1</v>
      </c>
      <c r="H231">
        <v>1</v>
      </c>
      <c r="I231">
        <v>1</v>
      </c>
    </row>
    <row r="232" spans="5:9" x14ac:dyDescent="0.2">
      <c r="E232">
        <f>E231+256</f>
        <v>877</v>
      </c>
      <c r="F232">
        <v>0</v>
      </c>
      <c r="G232">
        <v>1</v>
      </c>
      <c r="I232">
        <v>1</v>
      </c>
    </row>
    <row r="233" spans="5:9" x14ac:dyDescent="0.2">
      <c r="E233">
        <f>E232+256</f>
        <v>1133</v>
      </c>
      <c r="G233">
        <v>1</v>
      </c>
      <c r="I233">
        <v>1</v>
      </c>
    </row>
    <row r="235" spans="5:9" x14ac:dyDescent="0.2">
      <c r="E235">
        <f>CODE(F235)</f>
        <v>110</v>
      </c>
      <c r="F235" t="s">
        <v>55</v>
      </c>
      <c r="G235">
        <v>1</v>
      </c>
      <c r="H235">
        <v>1</v>
      </c>
    </row>
    <row r="236" spans="5:9" x14ac:dyDescent="0.2">
      <c r="E236">
        <f>E235+256</f>
        <v>366</v>
      </c>
      <c r="F236">
        <v>1</v>
      </c>
      <c r="G236">
        <v>1</v>
      </c>
      <c r="I236">
        <v>1</v>
      </c>
    </row>
    <row r="237" spans="5:9" x14ac:dyDescent="0.2">
      <c r="E237">
        <f>E236+256</f>
        <v>622</v>
      </c>
      <c r="F237">
        <v>3</v>
      </c>
      <c r="G237">
        <v>1</v>
      </c>
      <c r="I237">
        <v>1</v>
      </c>
    </row>
    <row r="238" spans="5:9" x14ac:dyDescent="0.2">
      <c r="E238">
        <f>E237+256</f>
        <v>878</v>
      </c>
      <c r="F238">
        <v>0</v>
      </c>
      <c r="G238">
        <v>1</v>
      </c>
      <c r="I238">
        <v>1</v>
      </c>
    </row>
    <row r="239" spans="5:9" x14ac:dyDescent="0.2">
      <c r="E239">
        <f>E238+256</f>
        <v>1134</v>
      </c>
      <c r="G239">
        <v>1</v>
      </c>
      <c r="I239">
        <v>1</v>
      </c>
    </row>
    <row r="241" spans="5:9" x14ac:dyDescent="0.2">
      <c r="E241">
        <f>CODE(F241)</f>
        <v>111</v>
      </c>
      <c r="F241" t="s">
        <v>56</v>
      </c>
      <c r="H241">
        <v>1</v>
      </c>
    </row>
    <row r="242" spans="5:9" x14ac:dyDescent="0.2">
      <c r="E242">
        <f>E241+256</f>
        <v>367</v>
      </c>
      <c r="F242">
        <v>1</v>
      </c>
      <c r="G242">
        <v>1</v>
      </c>
      <c r="I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H249">
        <v>1</v>
      </c>
    </row>
    <row r="250" spans="5:9" x14ac:dyDescent="0.2">
      <c r="E250">
        <f>E249+256</f>
        <v>880</v>
      </c>
      <c r="F250">
        <v>0</v>
      </c>
      <c r="G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3</v>
      </c>
      <c r="H255">
        <v>1</v>
      </c>
      <c r="I255">
        <v>1</v>
      </c>
    </row>
    <row r="256" spans="5:9" x14ac:dyDescent="0.2">
      <c r="E256">
        <f>E255+256</f>
        <v>881</v>
      </c>
      <c r="F256">
        <v>0</v>
      </c>
      <c r="I256">
        <v>1</v>
      </c>
    </row>
    <row r="257" spans="5:9" x14ac:dyDescent="0.2">
      <c r="E257">
        <f>E256+256</f>
        <v>1137</v>
      </c>
      <c r="I257">
        <v>1</v>
      </c>
    </row>
    <row r="259" spans="5:9" x14ac:dyDescent="0.2">
      <c r="E259">
        <f>CODE(F259)</f>
        <v>114</v>
      </c>
      <c r="F259" t="s">
        <v>59</v>
      </c>
      <c r="H259">
        <v>1</v>
      </c>
      <c r="I259">
        <v>1</v>
      </c>
    </row>
    <row r="260" spans="5:9" x14ac:dyDescent="0.2">
      <c r="E260">
        <f>E259+256</f>
        <v>370</v>
      </c>
      <c r="F260">
        <v>1</v>
      </c>
      <c r="G260">
        <v>1</v>
      </c>
    </row>
    <row r="261" spans="5:9" x14ac:dyDescent="0.2">
      <c r="E261">
        <f>E260+256</f>
        <v>626</v>
      </c>
      <c r="F261">
        <v>3</v>
      </c>
      <c r="G261">
        <v>1</v>
      </c>
    </row>
    <row r="262" spans="5:9" x14ac:dyDescent="0.2">
      <c r="E262">
        <f>E261+256</f>
        <v>882</v>
      </c>
      <c r="F262">
        <v>0</v>
      </c>
      <c r="G262">
        <v>1</v>
      </c>
    </row>
    <row r="263" spans="5:9" x14ac:dyDescent="0.2">
      <c r="E263">
        <f>E262+256</f>
        <v>1138</v>
      </c>
      <c r="G263">
        <v>1</v>
      </c>
    </row>
    <row r="265" spans="5:9" x14ac:dyDescent="0.2">
      <c r="E265">
        <f>CODE(F265)</f>
        <v>115</v>
      </c>
      <c r="F265" t="s">
        <v>60</v>
      </c>
      <c r="H265">
        <v>1</v>
      </c>
      <c r="I265">
        <v>1</v>
      </c>
    </row>
    <row r="266" spans="5:9" x14ac:dyDescent="0.2">
      <c r="E266">
        <f>E265+256</f>
        <v>371</v>
      </c>
      <c r="F266">
        <v>1</v>
      </c>
      <c r="G266">
        <v>1</v>
      </c>
    </row>
    <row r="267" spans="5:9" x14ac:dyDescent="0.2">
      <c r="E267">
        <f>E266+256</f>
        <v>627</v>
      </c>
      <c r="F267">
        <v>3</v>
      </c>
      <c r="H267">
        <v>1</v>
      </c>
    </row>
    <row r="268" spans="5:9" x14ac:dyDescent="0.2">
      <c r="E268">
        <f>E267+256</f>
        <v>883</v>
      </c>
      <c r="F268">
        <v>0</v>
      </c>
      <c r="I268">
        <v>1</v>
      </c>
    </row>
    <row r="269" spans="5:9" x14ac:dyDescent="0.2">
      <c r="E269">
        <f>E268+256</f>
        <v>1139</v>
      </c>
      <c r="G269">
        <v>1</v>
      </c>
      <c r="H269">
        <v>1</v>
      </c>
    </row>
    <row r="271" spans="5:9" x14ac:dyDescent="0.2">
      <c r="E271">
        <f>CODE(F271)</f>
        <v>116</v>
      </c>
      <c r="F271" t="s">
        <v>61</v>
      </c>
      <c r="H271">
        <v>1</v>
      </c>
    </row>
    <row r="272" spans="5:9" x14ac:dyDescent="0.2">
      <c r="E272">
        <f>E271+256</f>
        <v>372</v>
      </c>
      <c r="F272">
        <v>1</v>
      </c>
      <c r="G272">
        <v>1</v>
      </c>
      <c r="H272">
        <v>1</v>
      </c>
      <c r="I272">
        <v>1</v>
      </c>
    </row>
    <row r="273" spans="5:9" x14ac:dyDescent="0.2">
      <c r="E273">
        <f>E272+256</f>
        <v>628</v>
      </c>
      <c r="F273">
        <v>3</v>
      </c>
      <c r="H273">
        <v>1</v>
      </c>
    </row>
    <row r="274" spans="5:9" x14ac:dyDescent="0.2">
      <c r="E274">
        <f>E273+256</f>
        <v>884</v>
      </c>
      <c r="F274">
        <v>0</v>
      </c>
      <c r="H274">
        <v>1</v>
      </c>
    </row>
    <row r="275" spans="5:9" x14ac:dyDescent="0.2">
      <c r="E275">
        <f>E274+256</f>
        <v>1140</v>
      </c>
      <c r="I275">
        <v>1</v>
      </c>
    </row>
    <row r="277" spans="5:9" x14ac:dyDescent="0.2">
      <c r="E277">
        <f>CODE(F277)</f>
        <v>117</v>
      </c>
      <c r="F277" t="s">
        <v>62</v>
      </c>
      <c r="G277">
        <v>1</v>
      </c>
      <c r="I277">
        <v>1</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H281">
        <v>1</v>
      </c>
      <c r="I281">
        <v>1</v>
      </c>
    </row>
    <row r="283" spans="5:9" x14ac:dyDescent="0.2">
      <c r="E283">
        <f>CODE(F283)</f>
        <v>118</v>
      </c>
      <c r="F283" t="s">
        <v>63</v>
      </c>
      <c r="G283">
        <v>1</v>
      </c>
      <c r="I283">
        <v>1</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G286">
        <v>1</v>
      </c>
      <c r="I286">
        <v>1</v>
      </c>
    </row>
    <row r="287" spans="5:9" x14ac:dyDescent="0.2">
      <c r="E287">
        <f>E286+256</f>
        <v>1142</v>
      </c>
      <c r="H287">
        <v>1</v>
      </c>
    </row>
    <row r="289" spans="5:9" x14ac:dyDescent="0.2">
      <c r="E289">
        <f>CODE(F289)</f>
        <v>119</v>
      </c>
      <c r="F289" t="s">
        <v>64</v>
      </c>
      <c r="G289">
        <v>1</v>
      </c>
      <c r="I289">
        <v>1</v>
      </c>
    </row>
    <row r="290" spans="5:9" x14ac:dyDescent="0.2">
      <c r="E290">
        <f>E289+256</f>
        <v>375</v>
      </c>
      <c r="F290">
        <v>1</v>
      </c>
      <c r="G290">
        <v>1</v>
      </c>
      <c r="I290">
        <v>1</v>
      </c>
    </row>
    <row r="291" spans="5:9" x14ac:dyDescent="0.2">
      <c r="E291">
        <f>E290+256</f>
        <v>631</v>
      </c>
      <c r="F291">
        <v>3</v>
      </c>
      <c r="G291">
        <v>1</v>
      </c>
      <c r="H291">
        <v>1</v>
      </c>
      <c r="I291">
        <v>1</v>
      </c>
    </row>
    <row r="292" spans="5:9" x14ac:dyDescent="0.2">
      <c r="E292">
        <f>E291+256</f>
        <v>887</v>
      </c>
      <c r="F292">
        <v>0</v>
      </c>
      <c r="G292">
        <v>1</v>
      </c>
      <c r="H292">
        <v>1</v>
      </c>
      <c r="I292">
        <v>1</v>
      </c>
    </row>
    <row r="293" spans="5:9" x14ac:dyDescent="0.2">
      <c r="E293">
        <f>E292+256</f>
        <v>1143</v>
      </c>
      <c r="H293">
        <v>1</v>
      </c>
      <c r="I293">
        <v>1</v>
      </c>
    </row>
    <row r="295" spans="5:9" x14ac:dyDescent="0.2">
      <c r="E295">
        <f>CODE(F295)</f>
        <v>120</v>
      </c>
      <c r="F295" t="s">
        <v>65</v>
      </c>
      <c r="G295">
        <v>1</v>
      </c>
      <c r="I295">
        <v>1</v>
      </c>
    </row>
    <row r="296" spans="5:9" x14ac:dyDescent="0.2">
      <c r="E296">
        <f>E295+256</f>
        <v>376</v>
      </c>
      <c r="F296">
        <v>1</v>
      </c>
      <c r="G296">
        <v>1</v>
      </c>
      <c r="I296">
        <v>1</v>
      </c>
    </row>
    <row r="297" spans="5:9" x14ac:dyDescent="0.2">
      <c r="E297">
        <f>E296+256</f>
        <v>632</v>
      </c>
      <c r="F297">
        <v>3</v>
      </c>
      <c r="H297">
        <v>1</v>
      </c>
    </row>
    <row r="298" spans="5:9" x14ac:dyDescent="0.2">
      <c r="E298">
        <f>E297+256</f>
        <v>888</v>
      </c>
      <c r="F298">
        <v>0</v>
      </c>
      <c r="G298">
        <v>1</v>
      </c>
      <c r="I298">
        <v>1</v>
      </c>
    </row>
    <row r="299" spans="5:9" x14ac:dyDescent="0.2">
      <c r="E299">
        <f>E298+256</f>
        <v>1144</v>
      </c>
      <c r="G299">
        <v>1</v>
      </c>
      <c r="I299">
        <v>1</v>
      </c>
    </row>
    <row r="301" spans="5:9" x14ac:dyDescent="0.2">
      <c r="E301">
        <f>CODE(F301)</f>
        <v>121</v>
      </c>
      <c r="F301" t="s">
        <v>66</v>
      </c>
      <c r="G301">
        <v>1</v>
      </c>
      <c r="I301">
        <v>1</v>
      </c>
    </row>
    <row r="302" spans="5:9" x14ac:dyDescent="0.2">
      <c r="E302">
        <f>E301+256</f>
        <v>377</v>
      </c>
      <c r="F302">
        <v>1</v>
      </c>
      <c r="G302">
        <v>1</v>
      </c>
      <c r="I302">
        <v>1</v>
      </c>
    </row>
    <row r="303" spans="5:9" x14ac:dyDescent="0.2">
      <c r="E303">
        <f>E302+256</f>
        <v>633</v>
      </c>
      <c r="F303">
        <v>3</v>
      </c>
      <c r="H303">
        <v>1</v>
      </c>
      <c r="I303">
        <v>1</v>
      </c>
    </row>
    <row r="304" spans="5:9" x14ac:dyDescent="0.2">
      <c r="E304">
        <f>E303+256</f>
        <v>889</v>
      </c>
      <c r="F304">
        <v>0</v>
      </c>
      <c r="I304">
        <v>1</v>
      </c>
    </row>
    <row r="305" spans="5:9" x14ac:dyDescent="0.2">
      <c r="E305">
        <f>E304+256</f>
        <v>1145</v>
      </c>
      <c r="G305">
        <v>1</v>
      </c>
      <c r="H305">
        <v>1</v>
      </c>
    </row>
    <row r="307" spans="5:9" x14ac:dyDescent="0.2">
      <c r="E307">
        <f>CODE(F307)</f>
        <v>122</v>
      </c>
      <c r="F307" t="s">
        <v>67</v>
      </c>
      <c r="G307">
        <v>1</v>
      </c>
      <c r="H307">
        <v>1</v>
      </c>
      <c r="I307">
        <v>1</v>
      </c>
    </row>
    <row r="308" spans="5:9" x14ac:dyDescent="0.2">
      <c r="E308">
        <f>E307+256</f>
        <v>378</v>
      </c>
      <c r="F308">
        <v>1</v>
      </c>
      <c r="I308">
        <v>1</v>
      </c>
    </row>
    <row r="309" spans="5:9" x14ac:dyDescent="0.2">
      <c r="E309">
        <f>E308+256</f>
        <v>634</v>
      </c>
      <c r="F309">
        <v>3</v>
      </c>
      <c r="H309">
        <v>1</v>
      </c>
    </row>
    <row r="310" spans="5:9" x14ac:dyDescent="0.2">
      <c r="E310">
        <f>E309+256</f>
        <v>890</v>
      </c>
      <c r="F310">
        <v>0</v>
      </c>
      <c r="G310">
        <v>1</v>
      </c>
    </row>
    <row r="311" spans="5:9" x14ac:dyDescent="0.2">
      <c r="E311">
        <f>E310+256</f>
        <v>1146</v>
      </c>
      <c r="G311">
        <v>1</v>
      </c>
      <c r="H311">
        <v>1</v>
      </c>
      <c r="I311">
        <v>1</v>
      </c>
    </row>
    <row r="313" spans="5:9" x14ac:dyDescent="0.2">
      <c r="E313">
        <f>CODE(F313)</f>
        <v>32</v>
      </c>
      <c r="F313" t="s">
        <v>21</v>
      </c>
    </row>
    <row r="314" spans="5:9" x14ac:dyDescent="0.2">
      <c r="E314">
        <f>E313+256</f>
        <v>288</v>
      </c>
      <c r="F314">
        <v>1</v>
      </c>
    </row>
    <row r="315" spans="5:9" x14ac:dyDescent="0.2">
      <c r="E315">
        <f>E314+256</f>
        <v>544</v>
      </c>
      <c r="F315">
        <v>0</v>
      </c>
    </row>
    <row r="316" spans="5:9" x14ac:dyDescent="0.2">
      <c r="E316">
        <f>E315+256</f>
        <v>800</v>
      </c>
      <c r="F316">
        <v>0</v>
      </c>
    </row>
    <row r="317" spans="5:9" x14ac:dyDescent="0.2">
      <c r="E317">
        <f>E316+256</f>
        <v>1056</v>
      </c>
    </row>
    <row r="319" spans="5:9" x14ac:dyDescent="0.2">
      <c r="E319">
        <f>CODE(F319)</f>
        <v>49</v>
      </c>
      <c r="F319">
        <v>1</v>
      </c>
      <c r="G319">
        <v>1</v>
      </c>
      <c r="H319">
        <v>1</v>
      </c>
    </row>
    <row r="320" spans="5:9" x14ac:dyDescent="0.2">
      <c r="E320">
        <f>E319+256</f>
        <v>305</v>
      </c>
      <c r="F320">
        <v>1</v>
      </c>
      <c r="H320">
        <v>1</v>
      </c>
    </row>
    <row r="321" spans="5:9" x14ac:dyDescent="0.2">
      <c r="E321">
        <f>E320+256</f>
        <v>561</v>
      </c>
      <c r="F321">
        <v>2</v>
      </c>
      <c r="H321">
        <v>1</v>
      </c>
    </row>
    <row r="322" spans="5:9" x14ac:dyDescent="0.2">
      <c r="E322">
        <f>E321+256</f>
        <v>817</v>
      </c>
      <c r="F322">
        <v>0</v>
      </c>
      <c r="H322">
        <v>1</v>
      </c>
    </row>
    <row r="323" spans="5:9" x14ac:dyDescent="0.2">
      <c r="E323">
        <f>E322+256</f>
        <v>1073</v>
      </c>
      <c r="H323">
        <v>1</v>
      </c>
    </row>
    <row r="325" spans="5:9" x14ac:dyDescent="0.2">
      <c r="E325">
        <f>CODE(F325)</f>
        <v>50</v>
      </c>
      <c r="F325">
        <v>2</v>
      </c>
      <c r="G325">
        <v>1</v>
      </c>
      <c r="H325">
        <v>1</v>
      </c>
      <c r="I325">
        <v>1</v>
      </c>
    </row>
    <row r="326" spans="5:9" x14ac:dyDescent="0.2">
      <c r="E326">
        <f>E325+256</f>
        <v>306</v>
      </c>
      <c r="F326">
        <v>1</v>
      </c>
      <c r="I326">
        <v>1</v>
      </c>
    </row>
    <row r="327" spans="5:9" x14ac:dyDescent="0.2">
      <c r="E327">
        <f>E326+256</f>
        <v>562</v>
      </c>
      <c r="F327">
        <v>3</v>
      </c>
      <c r="G327">
        <v>1</v>
      </c>
      <c r="H327">
        <v>1</v>
      </c>
      <c r="I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c r="I331">
        <v>1</v>
      </c>
    </row>
    <row r="332" spans="5:9" x14ac:dyDescent="0.2">
      <c r="E332">
        <f>E331+256</f>
        <v>307</v>
      </c>
      <c r="F332">
        <v>1</v>
      </c>
      <c r="I332">
        <v>1</v>
      </c>
    </row>
    <row r="333" spans="5:9" x14ac:dyDescent="0.2">
      <c r="E333">
        <f>E332+256</f>
        <v>563</v>
      </c>
      <c r="F333">
        <v>3</v>
      </c>
      <c r="G333">
        <v>1</v>
      </c>
      <c r="H333">
        <v>1</v>
      </c>
      <c r="I333">
        <v>1</v>
      </c>
    </row>
    <row r="334" spans="5:9" x14ac:dyDescent="0.2">
      <c r="E334">
        <f>E333+256</f>
        <v>819</v>
      </c>
      <c r="F334">
        <v>0</v>
      </c>
      <c r="I334">
        <v>1</v>
      </c>
    </row>
    <row r="335" spans="5:9" x14ac:dyDescent="0.2">
      <c r="E335">
        <f>E334+256</f>
        <v>1075</v>
      </c>
      <c r="G335">
        <v>1</v>
      </c>
      <c r="H335">
        <v>1</v>
      </c>
      <c r="I335">
        <v>1</v>
      </c>
    </row>
    <row r="337" spans="5:9" x14ac:dyDescent="0.2">
      <c r="E337">
        <f>CODE(F337)</f>
        <v>52</v>
      </c>
      <c r="F337">
        <v>4</v>
      </c>
      <c r="G337">
        <v>1</v>
      </c>
      <c r="I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c r="I345">
        <v>1</v>
      </c>
    </row>
    <row r="346" spans="5:9" x14ac:dyDescent="0.2">
      <c r="E346">
        <f>E345+256</f>
        <v>821</v>
      </c>
      <c r="F346">
        <v>0</v>
      </c>
      <c r="I346">
        <v>1</v>
      </c>
    </row>
    <row r="347" spans="5:9" x14ac:dyDescent="0.2">
      <c r="E347">
        <f>E346+256</f>
        <v>1077</v>
      </c>
      <c r="G347">
        <v>1</v>
      </c>
      <c r="H347">
        <v>1</v>
      </c>
      <c r="I347">
        <v>1</v>
      </c>
    </row>
    <row r="349" spans="5:9" x14ac:dyDescent="0.2">
      <c r="E349">
        <f>CODE(F349)</f>
        <v>54</v>
      </c>
      <c r="F349">
        <v>6</v>
      </c>
      <c r="G349">
        <v>1</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I357">
        <v>1</v>
      </c>
    </row>
    <row r="358" spans="5:9" x14ac:dyDescent="0.2">
      <c r="E358">
        <f>E357+256</f>
        <v>823</v>
      </c>
      <c r="F358">
        <v>0</v>
      </c>
      <c r="I358">
        <v>1</v>
      </c>
    </row>
    <row r="359" spans="5:9" x14ac:dyDescent="0.2">
      <c r="E359">
        <f>E358+256</f>
        <v>1079</v>
      </c>
      <c r="I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c r="I371">
        <v>1</v>
      </c>
    </row>
    <row r="373" spans="5:9" x14ac:dyDescent="0.2">
      <c r="E373">
        <f>CODE(F373)</f>
        <v>48</v>
      </c>
      <c r="F373">
        <v>0</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7" x14ac:dyDescent="0.2">
      <c r="E385">
        <f>CODE(F385)</f>
        <v>58</v>
      </c>
      <c r="F385" t="s">
        <v>69</v>
      </c>
    </row>
    <row r="386" spans="5:7" x14ac:dyDescent="0.2">
      <c r="E386">
        <f>E385+256</f>
        <v>314</v>
      </c>
      <c r="F386">
        <v>1</v>
      </c>
      <c r="G386">
        <v>1</v>
      </c>
    </row>
    <row r="387" spans="5:7" x14ac:dyDescent="0.2">
      <c r="E387">
        <f>E386+256</f>
        <v>570</v>
      </c>
      <c r="F387">
        <v>1</v>
      </c>
    </row>
    <row r="388" spans="5:7" x14ac:dyDescent="0.2">
      <c r="E388">
        <f>E387+256</f>
        <v>826</v>
      </c>
      <c r="F388">
        <v>0</v>
      </c>
      <c r="G388">
        <v>1</v>
      </c>
    </row>
    <row r="389" spans="5:7" x14ac:dyDescent="0.2">
      <c r="E389">
        <f>E388+256</f>
        <v>1082</v>
      </c>
    </row>
    <row r="391" spans="5:7" x14ac:dyDescent="0.2">
      <c r="E391">
        <f>CODE(F391)</f>
        <v>59</v>
      </c>
      <c r="F391" t="s">
        <v>70</v>
      </c>
    </row>
    <row r="392" spans="5:7" x14ac:dyDescent="0.2">
      <c r="E392">
        <f>E391+256</f>
        <v>315</v>
      </c>
      <c r="F392">
        <v>1</v>
      </c>
      <c r="G392">
        <v>1</v>
      </c>
    </row>
    <row r="393" spans="5:7" x14ac:dyDescent="0.2">
      <c r="E393">
        <f>E392+256</f>
        <v>571</v>
      </c>
      <c r="F393">
        <v>1</v>
      </c>
    </row>
    <row r="394" spans="5:7" x14ac:dyDescent="0.2">
      <c r="E394">
        <f>E393+256</f>
        <v>827</v>
      </c>
      <c r="F394">
        <v>0</v>
      </c>
      <c r="G394">
        <v>1</v>
      </c>
    </row>
    <row r="395" spans="5:7" x14ac:dyDescent="0.2">
      <c r="E395">
        <f>E394+256</f>
        <v>1083</v>
      </c>
      <c r="G395">
        <v>1</v>
      </c>
    </row>
    <row r="397" spans="5:7" x14ac:dyDescent="0.2">
      <c r="E397">
        <f>CODE(F397)</f>
        <v>44</v>
      </c>
      <c r="F397" t="s">
        <v>71</v>
      </c>
    </row>
    <row r="398" spans="5:7" x14ac:dyDescent="0.2">
      <c r="E398">
        <f>E397+256</f>
        <v>300</v>
      </c>
      <c r="F398">
        <v>1</v>
      </c>
    </row>
    <row r="399" spans="5:7" x14ac:dyDescent="0.2">
      <c r="E399">
        <f>E398+256</f>
        <v>556</v>
      </c>
      <c r="F399">
        <v>1</v>
      </c>
    </row>
    <row r="400" spans="5:7" x14ac:dyDescent="0.2">
      <c r="E400">
        <f>E399+256</f>
        <v>812</v>
      </c>
      <c r="F400">
        <v>0</v>
      </c>
      <c r="G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H421">
        <v>1</v>
      </c>
      <c r="I421">
        <v>1</v>
      </c>
    </row>
    <row r="422" spans="5:9" x14ac:dyDescent="0.2">
      <c r="E422">
        <f>E421+256</f>
        <v>289</v>
      </c>
      <c r="F422">
        <v>1</v>
      </c>
      <c r="H422">
        <v>1</v>
      </c>
      <c r="I422">
        <v>1</v>
      </c>
    </row>
    <row r="423" spans="5:9" x14ac:dyDescent="0.2">
      <c r="E423">
        <f>E422+256</f>
        <v>545</v>
      </c>
      <c r="F423">
        <v>3</v>
      </c>
      <c r="H423">
        <v>1</v>
      </c>
    </row>
    <row r="424" spans="5:9" x14ac:dyDescent="0.2">
      <c r="E424">
        <f>E423+256</f>
        <v>801</v>
      </c>
      <c r="F424">
        <v>0</v>
      </c>
    </row>
    <row r="425" spans="5:9" x14ac:dyDescent="0.2">
      <c r="E425">
        <f>E424+256</f>
        <v>1057</v>
      </c>
      <c r="H425">
        <v>1</v>
      </c>
    </row>
    <row r="427" spans="5:9" x14ac:dyDescent="0.2">
      <c r="E427">
        <f>CODE(F427)</f>
        <v>63</v>
      </c>
      <c r="F427" t="s">
        <v>76</v>
      </c>
      <c r="G427">
        <v>1</v>
      </c>
      <c r="H427">
        <v>1</v>
      </c>
      <c r="I427">
        <v>1</v>
      </c>
    </row>
    <row r="428" spans="5:9" x14ac:dyDescent="0.2">
      <c r="E428">
        <f>E427+256</f>
        <v>319</v>
      </c>
      <c r="F428">
        <v>1</v>
      </c>
      <c r="I428">
        <v>1</v>
      </c>
    </row>
    <row r="429" spans="5:9" x14ac:dyDescent="0.2">
      <c r="E429">
        <f>E428+256</f>
        <v>575</v>
      </c>
      <c r="F429">
        <v>3</v>
      </c>
      <c r="G429">
        <v>1</v>
      </c>
      <c r="H429">
        <v>1</v>
      </c>
      <c r="I429">
        <v>1</v>
      </c>
    </row>
    <row r="430" spans="5:9" x14ac:dyDescent="0.2">
      <c r="E430">
        <f>E429+256</f>
        <v>831</v>
      </c>
      <c r="F430">
        <v>0</v>
      </c>
    </row>
    <row r="431" spans="5:9" x14ac:dyDescent="0.2">
      <c r="E431">
        <f>E430+256</f>
        <v>1087</v>
      </c>
      <c r="G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9" x14ac:dyDescent="0.2">
      <c r="E449">
        <f>E448+256</f>
        <v>1069</v>
      </c>
    </row>
    <row r="451" spans="5:9" x14ac:dyDescent="0.2">
      <c r="E451">
        <f>CODE(F451)</f>
        <v>42</v>
      </c>
      <c r="F451" s="13" t="s">
        <v>80</v>
      </c>
    </row>
    <row r="452" spans="5:9" x14ac:dyDescent="0.2">
      <c r="E452">
        <f>E451+256</f>
        <v>298</v>
      </c>
      <c r="F452">
        <v>1</v>
      </c>
      <c r="G452">
        <v>1</v>
      </c>
      <c r="I452">
        <v>1</v>
      </c>
    </row>
    <row r="453" spans="5:9" x14ac:dyDescent="0.2">
      <c r="E453">
        <f>E452+256</f>
        <v>554</v>
      </c>
      <c r="F453">
        <v>3</v>
      </c>
      <c r="H453">
        <v>1</v>
      </c>
    </row>
    <row r="454" spans="5:9" x14ac:dyDescent="0.2">
      <c r="E454">
        <f>E453+256</f>
        <v>810</v>
      </c>
      <c r="F454">
        <v>0</v>
      </c>
      <c r="G454">
        <v>1</v>
      </c>
      <c r="I454">
        <v>1</v>
      </c>
    </row>
    <row r="455" spans="5:9" x14ac:dyDescent="0.2">
      <c r="E455">
        <f>E454+256</f>
        <v>1066</v>
      </c>
    </row>
    <row r="457" spans="5:9" x14ac:dyDescent="0.2">
      <c r="E457">
        <f>CODE(F457)</f>
        <v>47</v>
      </c>
      <c r="F457" s="13" t="s">
        <v>81</v>
      </c>
      <c r="I457">
        <v>1</v>
      </c>
    </row>
    <row r="458" spans="5:9" x14ac:dyDescent="0.2">
      <c r="E458">
        <f>E457+256</f>
        <v>303</v>
      </c>
      <c r="F458">
        <v>1</v>
      </c>
      <c r="H458">
        <v>1</v>
      </c>
    </row>
    <row r="459" spans="5:9" x14ac:dyDescent="0.2">
      <c r="E459">
        <f>E458+256</f>
        <v>559</v>
      </c>
      <c r="F459">
        <v>3</v>
      </c>
      <c r="H459">
        <v>1</v>
      </c>
    </row>
    <row r="460" spans="5:9" x14ac:dyDescent="0.2">
      <c r="E460">
        <f>E459+256</f>
        <v>815</v>
      </c>
      <c r="F460">
        <v>0</v>
      </c>
      <c r="H460">
        <v>1</v>
      </c>
    </row>
    <row r="461" spans="5:9" x14ac:dyDescent="0.2">
      <c r="E461">
        <f>E460+256</f>
        <v>1071</v>
      </c>
      <c r="G461">
        <v>1</v>
      </c>
    </row>
    <row r="463" spans="5:9" x14ac:dyDescent="0.2">
      <c r="E463">
        <f>CODE(F463)</f>
        <v>61</v>
      </c>
      <c r="F463" s="13" t="s">
        <v>82</v>
      </c>
    </row>
    <row r="464" spans="5:9"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H476">
        <v>1</v>
      </c>
    </row>
    <row r="477" spans="5:9" x14ac:dyDescent="0.2">
      <c r="E477">
        <f>E476+256</f>
        <v>604</v>
      </c>
      <c r="F477">
        <v>3</v>
      </c>
      <c r="H477">
        <v>1</v>
      </c>
    </row>
    <row r="478" spans="5:9" x14ac:dyDescent="0.2">
      <c r="E478">
        <f>E477+256</f>
        <v>860</v>
      </c>
      <c r="F478">
        <v>0</v>
      </c>
      <c r="H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M498:M524 K18:K661 K1:L17 L18:L534 G1:J661">
    <cfRule type="cellIs" dxfId="29" priority="3" stopIfTrue="1" operator="equal">
      <formula>1</formula>
    </cfRule>
  </conditionalFormatting>
  <pageMargins left="0.74803149606299213" right="0.74803149606299213" top="0.98425196850393704" bottom="0.98425196850393704" header="0.51181102362204722" footer="0.51181102362204722"/>
  <pageSetup paperSize="9" scale="32" fitToWidth="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533"/>
  <sheetViews>
    <sheetView workbookViewId="0">
      <selection activeCell="A44" sqref="A44"/>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f>PutChar</f>
        <v>33</v>
      </c>
      <c r="E1">
        <f>CODE(F1)</f>
        <v>65</v>
      </c>
      <c r="F1" t="s">
        <v>15</v>
      </c>
      <c r="H1">
        <v>1</v>
      </c>
    </row>
    <row r="2" spans="1:13" x14ac:dyDescent="0.2">
      <c r="A2" t="s">
        <v>122</v>
      </c>
      <c r="B2" s="16">
        <f>IF(ISNA(B1),0,1)</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1</v>
      </c>
      <c r="C4">
        <f>B4</f>
        <v>1</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1</v>
      </c>
      <c r="C6" s="18">
        <f>IF(A6&lt;=$B$4,VLOOKUP($D1,$E$1:$L$1053,$B$4+3-A6,FALSE),"")</f>
        <v>1</v>
      </c>
      <c r="D6" s="13"/>
    </row>
    <row r="7" spans="1:13" x14ac:dyDescent="0.2">
      <c r="A7">
        <v>1</v>
      </c>
      <c r="B7" s="19">
        <f>IF(A7&lt;=$B$4,VLOOKUP($D2,$E$1:$L$1053,2+A7,FALSE),"")</f>
        <v>1</v>
      </c>
      <c r="C7" s="18">
        <f>IF(A7&lt;=$B$4,VLOOKUP($D2,$E$1:$L$1053,$B$4+3-A7,FALSE),"")</f>
        <v>1</v>
      </c>
      <c r="E7">
        <f>CODE(F7)</f>
        <v>66</v>
      </c>
      <c r="F7" t="s">
        <v>16</v>
      </c>
      <c r="G7">
        <v>1</v>
      </c>
      <c r="H7">
        <v>1</v>
      </c>
      <c r="M7" s="12"/>
    </row>
    <row r="8" spans="1:13" x14ac:dyDescent="0.2">
      <c r="A8">
        <v>1</v>
      </c>
      <c r="B8" s="19">
        <f>IF(A8&lt;=$B$4,VLOOKUP($D3,$E$1:$L$1053,2+A8,FALSE),"")</f>
        <v>1</v>
      </c>
      <c r="C8" s="18">
        <f>IF(A8&lt;=$B$4,VLOOKUP($D3,$E$1:$L$1053,$B$4+3-A8,FALSE),"")</f>
        <v>1</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1</v>
      </c>
      <c r="C10" s="18">
        <f>IF(A10&lt;=$B$4,VLOOKUP($D5,$E$1:$L$1053,$B$4+3-A10,FALSE),"")</f>
        <v>1</v>
      </c>
      <c r="E10">
        <f>E9+256</f>
        <v>834</v>
      </c>
      <c r="F10">
        <v>0</v>
      </c>
      <c r="G10">
        <v>1</v>
      </c>
      <c r="I10">
        <v>1</v>
      </c>
    </row>
    <row r="11" spans="1:13" x14ac:dyDescent="0.2">
      <c r="A11">
        <v>2</v>
      </c>
      <c r="B11" s="18" t="str">
        <f>IF(A11&lt;=$B$4,VLOOKUP($D1,$E$1:$L$1053,2+A11,FALSE),"")</f>
        <v/>
      </c>
      <c r="C11" s="19" t="str">
        <f>IF(A11&lt;=$B$4,VLOOKUP($D1,$E$1:$L$1053,$B$4+3-A11,FALSE),"")</f>
        <v/>
      </c>
      <c r="E11">
        <f>E10+256</f>
        <v>1090</v>
      </c>
      <c r="G11">
        <v>1</v>
      </c>
      <c r="H11">
        <v>1</v>
      </c>
    </row>
    <row r="12" spans="1:13" x14ac:dyDescent="0.2">
      <c r="A12">
        <v>2</v>
      </c>
      <c r="B12" s="18" t="str">
        <f>IF(A12&lt;=$B$4,VLOOKUP($D2,$E$1:$L$1053,2+A12,FALSE),"")</f>
        <v/>
      </c>
      <c r="C12" s="19" t="str">
        <f>IF(A12&lt;=$B$4,VLOOKUP($D2,$E$1:$L$1053,$B$4+3-A12,FALSE),"")</f>
        <v/>
      </c>
    </row>
    <row r="13" spans="1:13" x14ac:dyDescent="0.2">
      <c r="A13">
        <v>2</v>
      </c>
      <c r="B13" s="18" t="str">
        <f>IF(A13&lt;=$B$4,VLOOKUP($D3,$E$1:$L$1053,2+A13,FALSE),"")</f>
        <v/>
      </c>
      <c r="C13" s="19" t="str">
        <f>IF(A13&lt;=$B$4,VLOOKUP($D3,$E$1:$L$1053,$B$4+3-A13,FALSE),"")</f>
        <v/>
      </c>
      <c r="E13">
        <f>CODE(F13)</f>
        <v>67</v>
      </c>
      <c r="F13" t="s">
        <v>17</v>
      </c>
      <c r="H13">
        <v>1</v>
      </c>
      <c r="I13">
        <v>1</v>
      </c>
    </row>
    <row r="14" spans="1:13" x14ac:dyDescent="0.2">
      <c r="A14">
        <v>2</v>
      </c>
      <c r="B14" s="18" t="str">
        <f>IF(A14&lt;=$B$4,VLOOKUP($D4,$E$1:$L$1053,2+A14,FALSE),"")</f>
        <v/>
      </c>
      <c r="C14" s="19" t="str">
        <f>IF(A14&lt;=$B$4,VLOOKUP($D4,$E$1:$L$1053,$B$4+3-A14,FALSE),"")</f>
        <v/>
      </c>
      <c r="E14">
        <f>E13+256</f>
        <v>323</v>
      </c>
      <c r="F14">
        <v>1</v>
      </c>
      <c r="G14">
        <v>1</v>
      </c>
    </row>
    <row r="15" spans="1:13" x14ac:dyDescent="0.2">
      <c r="A15">
        <v>2</v>
      </c>
      <c r="B15" s="18" t="str">
        <f>IF(A15&lt;=$B$4,VLOOKUP($D5,$E$1:$L$1053,2+A15,FALSE),"")</f>
        <v/>
      </c>
      <c r="C15" s="19" t="str">
        <f>IF(A15&lt;=$B$4,VLOOKUP($D5,$E$1:$L$1053,$B$4+3-A15,FALSE),"")</f>
        <v/>
      </c>
      <c r="E15">
        <f>E14+256</f>
        <v>579</v>
      </c>
      <c r="F15">
        <v>3</v>
      </c>
      <c r="G15">
        <v>1</v>
      </c>
    </row>
    <row r="16" spans="1:13" x14ac:dyDescent="0.2">
      <c r="A16">
        <v>3</v>
      </c>
      <c r="B16" s="19" t="str">
        <f>IF(A16&lt;=$B$4,VLOOKUP($D1,$E$1:$L$1053,2+A16,FALSE),"")</f>
        <v/>
      </c>
      <c r="C16" s="18" t="str">
        <f>IF(A16&lt;=$B$4,VLOOKUP($D1,$E$1:$L$1053,$B$4+3-A16,FALSE),"")</f>
        <v/>
      </c>
      <c r="E16">
        <f>E15+256</f>
        <v>835</v>
      </c>
      <c r="F16">
        <v>0</v>
      </c>
      <c r="G16">
        <v>1</v>
      </c>
    </row>
    <row r="17" spans="1:9" x14ac:dyDescent="0.2">
      <c r="A17">
        <v>3</v>
      </c>
      <c r="B17" s="19" t="str">
        <f>IF(A17&lt;=$B$4,VLOOKUP($D2,$E$1:$L$1053,2+A17,FALSE),"")</f>
        <v/>
      </c>
      <c r="C17" s="18" t="str">
        <f>IF(A17&lt;=$B$4,VLOOKUP($D2,$E$1:$L$1053,$B$4+3-A17,FALSE),"")</f>
        <v/>
      </c>
      <c r="E17">
        <f>E16+256</f>
        <v>1091</v>
      </c>
      <c r="H17">
        <v>1</v>
      </c>
      <c r="I17">
        <v>1</v>
      </c>
    </row>
    <row r="18" spans="1:9" x14ac:dyDescent="0.2">
      <c r="A18">
        <v>3</v>
      </c>
      <c r="B18" s="19" t="str">
        <f>IF(A18&lt;=$B$4,VLOOKUP($D3,$E$1:$L$1053,2+A18,FALSE),"")</f>
        <v/>
      </c>
      <c r="C18" s="18" t="str">
        <f>IF(A18&lt;=$B$4,VLOOKUP($D3,$E$1:$L$1053,$B$4+3-A18,FALSE),"")</f>
        <v/>
      </c>
    </row>
    <row r="19" spans="1:9" x14ac:dyDescent="0.2">
      <c r="A19">
        <v>3</v>
      </c>
      <c r="B19" s="19" t="str">
        <f>IF(A19&lt;=$B$4,VLOOKUP($D4,$E$1:$L$1053,2+A19,FALSE),"")</f>
        <v/>
      </c>
      <c r="C19" s="18" t="str">
        <f>IF(A19&lt;=$B$4,VLOOKUP($D4,$E$1:$L$1053,$B$4+3-A19,FALSE),"")</f>
        <v/>
      </c>
      <c r="E19">
        <f>CODE(F19)</f>
        <v>68</v>
      </c>
      <c r="F19" t="s">
        <v>18</v>
      </c>
      <c r="G19">
        <v>1</v>
      </c>
      <c r="H19">
        <v>1</v>
      </c>
    </row>
    <row r="20" spans="1:9" x14ac:dyDescent="0.2">
      <c r="A20">
        <v>3</v>
      </c>
      <c r="B20" s="19" t="str">
        <f>IF(A20&lt;=$B$4,VLOOKUP($D5,$E$1:$L$1053,2+A20,FALSE),"")</f>
        <v/>
      </c>
      <c r="C20" s="18" t="str">
        <f>IF(A20&lt;=$B$4,VLOOKUP($D5,$E$1:$L$1053,$B$4+3-A20,FALSE),"")</f>
        <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1</v>
      </c>
      <c r="C48">
        <f>B48</f>
        <v>1</v>
      </c>
    </row>
    <row r="49" spans="1:9" x14ac:dyDescent="0.2">
      <c r="B49">
        <f>B5</f>
        <v>0</v>
      </c>
      <c r="C49">
        <f>B49</f>
        <v>0</v>
      </c>
      <c r="E49">
        <f>CODE(F49)</f>
        <v>73</v>
      </c>
      <c r="F49" t="s">
        <v>24</v>
      </c>
      <c r="G49">
        <v>1</v>
      </c>
      <c r="H49">
        <v>1</v>
      </c>
      <c r="I49">
        <v>1</v>
      </c>
    </row>
    <row r="50" spans="1:9" x14ac:dyDescent="0.2">
      <c r="A50">
        <v>1</v>
      </c>
      <c r="B50" s="18">
        <f>B6</f>
        <v>1</v>
      </c>
      <c r="C50" s="19">
        <f t="shared" ref="C50:C55" si="1">B74</f>
        <v>1</v>
      </c>
      <c r="E50">
        <f>E49+256</f>
        <v>329</v>
      </c>
      <c r="F50">
        <v>1</v>
      </c>
      <c r="G50" t="s">
        <v>21</v>
      </c>
      <c r="H50">
        <v>1</v>
      </c>
    </row>
    <row r="51" spans="1:9" x14ac:dyDescent="0.2">
      <c r="A51">
        <v>2</v>
      </c>
      <c r="B51" s="18" t="str">
        <f>B11</f>
        <v/>
      </c>
      <c r="C51" s="19" t="str">
        <f t="shared" si="1"/>
        <v/>
      </c>
      <c r="E51">
        <f>E50+256</f>
        <v>585</v>
      </c>
      <c r="F51">
        <v>3</v>
      </c>
      <c r="H51">
        <v>1</v>
      </c>
    </row>
    <row r="52" spans="1:9" x14ac:dyDescent="0.2">
      <c r="A52">
        <v>3</v>
      </c>
      <c r="B52" s="18" t="str">
        <f>B16</f>
        <v/>
      </c>
      <c r="C52" s="19" t="str">
        <f t="shared" si="1"/>
        <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1</v>
      </c>
      <c r="C56" s="18">
        <f t="shared" ref="C56:C61" si="2">B68</f>
        <v>0</v>
      </c>
      <c r="E56">
        <f>E55+256</f>
        <v>330</v>
      </c>
      <c r="F56">
        <v>1</v>
      </c>
      <c r="G56" t="s">
        <v>21</v>
      </c>
      <c r="I56">
        <v>1</v>
      </c>
    </row>
    <row r="57" spans="1:9" x14ac:dyDescent="0.2">
      <c r="A57">
        <v>2</v>
      </c>
      <c r="B57" s="19" t="str">
        <f>B12</f>
        <v/>
      </c>
      <c r="C57" s="18" t="str">
        <f t="shared" si="2"/>
        <v/>
      </c>
      <c r="E57">
        <f>E56+256</f>
        <v>586</v>
      </c>
      <c r="F57">
        <v>3</v>
      </c>
      <c r="G57" t="s">
        <v>21</v>
      </c>
      <c r="H57" t="s">
        <v>21</v>
      </c>
      <c r="I57">
        <v>1</v>
      </c>
    </row>
    <row r="58" spans="1:9" x14ac:dyDescent="0.2">
      <c r="A58">
        <v>3</v>
      </c>
      <c r="B58" s="19" t="str">
        <f>B17</f>
        <v/>
      </c>
      <c r="C58" s="18" t="str">
        <f t="shared" si="2"/>
        <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1</v>
      </c>
      <c r="C62" s="19">
        <f t="shared" ref="C62:C67" si="3">B62</f>
        <v>1</v>
      </c>
      <c r="E62">
        <f>E61+256</f>
        <v>331</v>
      </c>
      <c r="F62">
        <v>1</v>
      </c>
      <c r="G62">
        <v>1</v>
      </c>
      <c r="I62">
        <v>1</v>
      </c>
    </row>
    <row r="63" spans="1:9" x14ac:dyDescent="0.2">
      <c r="A63">
        <v>2</v>
      </c>
      <c r="B63" s="18" t="str">
        <f>B13</f>
        <v/>
      </c>
      <c r="C63" s="19" t="str">
        <f t="shared" si="3"/>
        <v/>
      </c>
      <c r="E63">
        <f>E62+256</f>
        <v>587</v>
      </c>
      <c r="F63">
        <v>3</v>
      </c>
      <c r="G63">
        <v>1</v>
      </c>
      <c r="H63">
        <v>1</v>
      </c>
    </row>
    <row r="64" spans="1:9" x14ac:dyDescent="0.2">
      <c r="A64">
        <v>3</v>
      </c>
      <c r="B64" s="18" t="str">
        <f>B18</f>
        <v/>
      </c>
      <c r="C64" s="19" t="str">
        <f t="shared" si="3"/>
        <v/>
      </c>
      <c r="E64">
        <f>E63+256</f>
        <v>843</v>
      </c>
      <c r="F64">
        <v>0</v>
      </c>
      <c r="G64">
        <v>1</v>
      </c>
      <c r="I64">
        <v>1</v>
      </c>
    </row>
    <row r="65" spans="1:11" x14ac:dyDescent="0.2">
      <c r="A65">
        <v>4</v>
      </c>
      <c r="B65" s="18" t="str">
        <f>B23</f>
        <v/>
      </c>
      <c r="C65" s="19" t="str">
        <f t="shared" si="3"/>
        <v/>
      </c>
      <c r="E65">
        <f>E64+256</f>
        <v>1099</v>
      </c>
      <c r="G65">
        <v>1</v>
      </c>
      <c r="I65">
        <v>1</v>
      </c>
    </row>
    <row r="66" spans="1:11" x14ac:dyDescent="0.2">
      <c r="A66">
        <v>5</v>
      </c>
      <c r="B66" s="18" t="str">
        <f>B28</f>
        <v/>
      </c>
      <c r="C66" s="19" t="str">
        <f t="shared" si="3"/>
        <v/>
      </c>
    </row>
    <row r="67" spans="1:11" x14ac:dyDescent="0.2">
      <c r="A67">
        <v>6</v>
      </c>
      <c r="B67" s="18" t="str">
        <f>B33</f>
        <v/>
      </c>
      <c r="C67" s="19" t="str">
        <f t="shared" si="3"/>
        <v/>
      </c>
      <c r="E67">
        <f>CODE(F67)</f>
        <v>76</v>
      </c>
      <c r="F67" t="s">
        <v>27</v>
      </c>
      <c r="G67">
        <v>1</v>
      </c>
    </row>
    <row r="68" spans="1:11" x14ac:dyDescent="0.2">
      <c r="A68">
        <v>1</v>
      </c>
      <c r="B68" s="19">
        <f>B9</f>
        <v>0</v>
      </c>
      <c r="C68" s="18">
        <f t="shared" ref="C68:C73" si="4">B56</f>
        <v>1</v>
      </c>
      <c r="E68">
        <f>E67+256</f>
        <v>332</v>
      </c>
      <c r="F68">
        <v>1</v>
      </c>
      <c r="G68">
        <v>1</v>
      </c>
    </row>
    <row r="69" spans="1:11" x14ac:dyDescent="0.2">
      <c r="A69">
        <v>2</v>
      </c>
      <c r="B69" s="19" t="str">
        <f>B14</f>
        <v/>
      </c>
      <c r="C69" s="18" t="str">
        <f t="shared" si="4"/>
        <v/>
      </c>
      <c r="E69">
        <f>E68+256</f>
        <v>588</v>
      </c>
      <c r="F69">
        <v>3</v>
      </c>
      <c r="G69">
        <v>1</v>
      </c>
    </row>
    <row r="70" spans="1:11" x14ac:dyDescent="0.2">
      <c r="A70">
        <v>3</v>
      </c>
      <c r="B70" s="19" t="str">
        <f>B19</f>
        <v/>
      </c>
      <c r="C70" s="18" t="str">
        <f t="shared" si="4"/>
        <v/>
      </c>
      <c r="E70">
        <f>E69+256</f>
        <v>844</v>
      </c>
      <c r="F70">
        <v>0</v>
      </c>
      <c r="G70">
        <v>1</v>
      </c>
    </row>
    <row r="71" spans="1:11" x14ac:dyDescent="0.2">
      <c r="A71">
        <v>4</v>
      </c>
      <c r="B71" s="19" t="str">
        <f>B24</f>
        <v/>
      </c>
      <c r="C71" s="18" t="str">
        <f t="shared" si="4"/>
        <v/>
      </c>
      <c r="E71">
        <f>E70+256</f>
        <v>1100</v>
      </c>
      <c r="G71">
        <v>1</v>
      </c>
      <c r="H71">
        <v>1</v>
      </c>
      <c r="I71">
        <v>1</v>
      </c>
    </row>
    <row r="72" spans="1:11" x14ac:dyDescent="0.2">
      <c r="A72">
        <v>5</v>
      </c>
      <c r="B72" s="19" t="str">
        <f>B29</f>
        <v/>
      </c>
      <c r="C72" s="18" t="str">
        <f t="shared" si="4"/>
        <v/>
      </c>
    </row>
    <row r="73" spans="1:11" x14ac:dyDescent="0.2">
      <c r="A73">
        <v>6</v>
      </c>
      <c r="B73" s="19" t="str">
        <f>B34</f>
        <v/>
      </c>
      <c r="C73" s="18" t="str">
        <f t="shared" si="4"/>
        <v/>
      </c>
      <c r="E73">
        <f>CODE(F73)</f>
        <v>77</v>
      </c>
      <c r="F73" t="s">
        <v>28</v>
      </c>
      <c r="G73">
        <v>1</v>
      </c>
      <c r="K73">
        <v>1</v>
      </c>
    </row>
    <row r="74" spans="1:11" x14ac:dyDescent="0.2">
      <c r="A74">
        <v>1</v>
      </c>
      <c r="B74" s="18">
        <f>B10</f>
        <v>1</v>
      </c>
      <c r="C74" s="19">
        <f t="shared" ref="C74:C79" si="5">B50</f>
        <v>1</v>
      </c>
      <c r="E74">
        <f>E73+256</f>
        <v>333</v>
      </c>
      <c r="F74">
        <v>1</v>
      </c>
      <c r="G74">
        <v>1</v>
      </c>
      <c r="H74">
        <v>1</v>
      </c>
      <c r="J74">
        <v>1</v>
      </c>
      <c r="K74">
        <v>1</v>
      </c>
    </row>
    <row r="75" spans="1:11" x14ac:dyDescent="0.2">
      <c r="A75">
        <v>2</v>
      </c>
      <c r="B75" s="18" t="str">
        <f>B15</f>
        <v/>
      </c>
      <c r="C75" s="19" t="str">
        <f t="shared" si="5"/>
        <v/>
      </c>
      <c r="E75">
        <f>E74+256</f>
        <v>589</v>
      </c>
      <c r="F75">
        <v>5</v>
      </c>
      <c r="G75">
        <v>1</v>
      </c>
      <c r="I75">
        <v>1</v>
      </c>
      <c r="K75">
        <v>1</v>
      </c>
    </row>
    <row r="76" spans="1:11" x14ac:dyDescent="0.2">
      <c r="A76">
        <v>3</v>
      </c>
      <c r="B76" s="18" t="str">
        <f>B20</f>
        <v/>
      </c>
      <c r="C76" s="19" t="str">
        <f t="shared" si="5"/>
        <v/>
      </c>
      <c r="E76">
        <f>E75+256</f>
        <v>845</v>
      </c>
      <c r="F76">
        <v>0</v>
      </c>
      <c r="G76">
        <v>1</v>
      </c>
      <c r="K76">
        <v>1</v>
      </c>
    </row>
    <row r="77" spans="1:11" x14ac:dyDescent="0.2">
      <c r="A77">
        <v>4</v>
      </c>
      <c r="B77" s="18" t="str">
        <f>B25</f>
        <v/>
      </c>
      <c r="C77" s="19" t="str">
        <f t="shared" si="5"/>
        <v/>
      </c>
      <c r="E77">
        <f>E76+256</f>
        <v>1101</v>
      </c>
      <c r="G77">
        <v>1</v>
      </c>
      <c r="K77">
        <v>1</v>
      </c>
    </row>
    <row r="78" spans="1:11" x14ac:dyDescent="0.2">
      <c r="A78">
        <v>5</v>
      </c>
      <c r="B78" s="18" t="str">
        <f>B30</f>
        <v/>
      </c>
      <c r="C78" s="19" t="str">
        <f t="shared" si="5"/>
        <v/>
      </c>
    </row>
    <row r="79" spans="1:11" x14ac:dyDescent="0.2">
      <c r="A79">
        <v>6</v>
      </c>
      <c r="B79" s="18" t="str">
        <f>B35</f>
        <v/>
      </c>
      <c r="C79" s="19" t="str">
        <f t="shared" si="5"/>
        <v/>
      </c>
      <c r="E79">
        <f>CODE(F79)</f>
        <v>78</v>
      </c>
      <c r="F79" t="s">
        <v>29</v>
      </c>
      <c r="G79">
        <v>1</v>
      </c>
      <c r="H79">
        <v>1</v>
      </c>
    </row>
    <row r="80" spans="1:11"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H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H89">
        <v>1</v>
      </c>
    </row>
    <row r="91" spans="5:9" x14ac:dyDescent="0.2">
      <c r="E91">
        <f>CODE(F91)</f>
        <v>80</v>
      </c>
      <c r="F91" t="s">
        <v>31</v>
      </c>
      <c r="G91">
        <v>1</v>
      </c>
      <c r="H91">
        <v>1</v>
      </c>
    </row>
    <row r="92" spans="5:9" x14ac:dyDescent="0.2">
      <c r="E92">
        <f>E91+256</f>
        <v>336</v>
      </c>
      <c r="F92">
        <v>1</v>
      </c>
      <c r="G92">
        <v>1</v>
      </c>
      <c r="I92">
        <v>1</v>
      </c>
    </row>
    <row r="93" spans="5:9" x14ac:dyDescent="0.2">
      <c r="E93">
        <f>E92+256</f>
        <v>592</v>
      </c>
      <c r="F93">
        <v>3</v>
      </c>
      <c r="G93">
        <v>1</v>
      </c>
      <c r="H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I99">
        <v>1</v>
      </c>
    </row>
    <row r="100" spans="5:9" x14ac:dyDescent="0.2">
      <c r="E100">
        <f>E99+256</f>
        <v>849</v>
      </c>
      <c r="F100">
        <v>0</v>
      </c>
      <c r="G100">
        <v>1</v>
      </c>
      <c r="H100">
        <v>1</v>
      </c>
      <c r="I100">
        <v>1</v>
      </c>
    </row>
    <row r="101" spans="5:9" x14ac:dyDescent="0.2">
      <c r="E101">
        <f>E100+256</f>
        <v>1105</v>
      </c>
      <c r="H101">
        <v>1</v>
      </c>
      <c r="I101">
        <v>1</v>
      </c>
    </row>
    <row r="103" spans="5:9" x14ac:dyDescent="0.2">
      <c r="E103">
        <f>CODE(F103)</f>
        <v>82</v>
      </c>
      <c r="F103" t="s">
        <v>33</v>
      </c>
      <c r="G103">
        <v>1</v>
      </c>
      <c r="H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H109">
        <v>1</v>
      </c>
      <c r="I109">
        <v>1</v>
      </c>
    </row>
    <row r="110" spans="5:9" x14ac:dyDescent="0.2">
      <c r="E110">
        <f>E109+256</f>
        <v>339</v>
      </c>
      <c r="F110">
        <v>1</v>
      </c>
      <c r="G110">
        <v>1</v>
      </c>
    </row>
    <row r="111" spans="5:9" x14ac:dyDescent="0.2">
      <c r="E111">
        <f>E110+256</f>
        <v>595</v>
      </c>
      <c r="F111">
        <v>3</v>
      </c>
      <c r="H111">
        <v>1</v>
      </c>
    </row>
    <row r="112" spans="5:9" x14ac:dyDescent="0.2">
      <c r="E112">
        <f>E111+256</f>
        <v>851</v>
      </c>
      <c r="F112">
        <v>0</v>
      </c>
      <c r="I112">
        <v>1</v>
      </c>
    </row>
    <row r="113" spans="5:9" x14ac:dyDescent="0.2">
      <c r="E113">
        <f>E112+256</f>
        <v>1107</v>
      </c>
      <c r="G113">
        <v>1</v>
      </c>
      <c r="H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H125">
        <v>1</v>
      </c>
    </row>
    <row r="127" spans="5:9" x14ac:dyDescent="0.2">
      <c r="E127">
        <f>CODE(F127)</f>
        <v>86</v>
      </c>
      <c r="F127" t="s">
        <v>37</v>
      </c>
      <c r="G127">
        <v>1</v>
      </c>
      <c r="I127">
        <v>1</v>
      </c>
    </row>
    <row r="128" spans="5:9" x14ac:dyDescent="0.2">
      <c r="E128">
        <f>E127+256</f>
        <v>342</v>
      </c>
      <c r="F128">
        <v>1</v>
      </c>
      <c r="G128">
        <v>1</v>
      </c>
      <c r="I128">
        <v>1</v>
      </c>
    </row>
    <row r="129" spans="5:11" x14ac:dyDescent="0.2">
      <c r="E129">
        <f>E128+256</f>
        <v>598</v>
      </c>
      <c r="F129">
        <v>3</v>
      </c>
      <c r="G129">
        <v>1</v>
      </c>
      <c r="I129">
        <v>1</v>
      </c>
    </row>
    <row r="130" spans="5:11" x14ac:dyDescent="0.2">
      <c r="E130">
        <f>E129+256</f>
        <v>854</v>
      </c>
      <c r="F130">
        <v>0</v>
      </c>
      <c r="H130">
        <v>1</v>
      </c>
    </row>
    <row r="131" spans="5:11" x14ac:dyDescent="0.2">
      <c r="E131">
        <f>E130+256</f>
        <v>1110</v>
      </c>
      <c r="H131">
        <v>1</v>
      </c>
    </row>
    <row r="133" spans="5:11" x14ac:dyDescent="0.2">
      <c r="E133">
        <f>CODE(F133)</f>
        <v>87</v>
      </c>
      <c r="F133" t="s">
        <v>38</v>
      </c>
      <c r="G133">
        <v>1</v>
      </c>
      <c r="K133">
        <v>1</v>
      </c>
    </row>
    <row r="134" spans="5:11" x14ac:dyDescent="0.2">
      <c r="E134">
        <f>E133+256</f>
        <v>343</v>
      </c>
      <c r="F134">
        <v>1</v>
      </c>
      <c r="G134">
        <v>1</v>
      </c>
      <c r="K134">
        <v>1</v>
      </c>
    </row>
    <row r="135" spans="5:11" x14ac:dyDescent="0.2">
      <c r="E135">
        <f>E134+256</f>
        <v>599</v>
      </c>
      <c r="F135">
        <v>5</v>
      </c>
      <c r="G135">
        <v>1</v>
      </c>
      <c r="I135">
        <v>1</v>
      </c>
      <c r="K135">
        <v>1</v>
      </c>
    </row>
    <row r="136" spans="5:11" x14ac:dyDescent="0.2">
      <c r="E136">
        <f>E135+256</f>
        <v>855</v>
      </c>
      <c r="F136">
        <v>0</v>
      </c>
      <c r="G136">
        <v>1</v>
      </c>
      <c r="H136">
        <v>1</v>
      </c>
      <c r="J136">
        <v>1</v>
      </c>
      <c r="K136">
        <v>1</v>
      </c>
    </row>
    <row r="137" spans="5:11" x14ac:dyDescent="0.2">
      <c r="E137">
        <f>E136+256</f>
        <v>1111</v>
      </c>
      <c r="G137">
        <v>1</v>
      </c>
      <c r="K137">
        <v>1</v>
      </c>
    </row>
    <row r="139" spans="5:11" x14ac:dyDescent="0.2">
      <c r="E139">
        <f>CODE(F139)</f>
        <v>88</v>
      </c>
      <c r="F139" t="s">
        <v>39</v>
      </c>
      <c r="G139">
        <v>1</v>
      </c>
      <c r="I139">
        <v>1</v>
      </c>
    </row>
    <row r="140" spans="5:11" x14ac:dyDescent="0.2">
      <c r="E140">
        <f>E139+256</f>
        <v>344</v>
      </c>
      <c r="F140">
        <v>1</v>
      </c>
      <c r="G140">
        <v>1</v>
      </c>
      <c r="I140">
        <v>1</v>
      </c>
    </row>
    <row r="141" spans="5:11" x14ac:dyDescent="0.2">
      <c r="E141">
        <f>E140+256</f>
        <v>600</v>
      </c>
      <c r="F141">
        <v>3</v>
      </c>
      <c r="H141">
        <v>1</v>
      </c>
    </row>
    <row r="142" spans="5:11" x14ac:dyDescent="0.2">
      <c r="E142">
        <f>E141+256</f>
        <v>856</v>
      </c>
      <c r="F142">
        <v>0</v>
      </c>
      <c r="G142">
        <v>1</v>
      </c>
      <c r="I142">
        <v>1</v>
      </c>
    </row>
    <row r="143" spans="5:11"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H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row>
    <row r="158" spans="5:9" x14ac:dyDescent="0.2">
      <c r="E158">
        <f>E157+256</f>
        <v>353</v>
      </c>
      <c r="F158">
        <v>1</v>
      </c>
      <c r="H158">
        <v>1</v>
      </c>
      <c r="I158">
        <v>1</v>
      </c>
    </row>
    <row r="159" spans="5:9" x14ac:dyDescent="0.2">
      <c r="E159">
        <f>E158+256</f>
        <v>609</v>
      </c>
      <c r="F159">
        <v>3</v>
      </c>
      <c r="G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row>
    <row r="170" spans="5:9" x14ac:dyDescent="0.2">
      <c r="E170">
        <f>E169+256</f>
        <v>355</v>
      </c>
      <c r="F170">
        <v>1</v>
      </c>
      <c r="H170">
        <v>1</v>
      </c>
      <c r="I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row>
    <row r="182" spans="5:9" x14ac:dyDescent="0.2">
      <c r="E182">
        <f>E181+256</f>
        <v>357</v>
      </c>
      <c r="F182">
        <v>1</v>
      </c>
      <c r="H182">
        <v>1</v>
      </c>
    </row>
    <row r="183" spans="5:9" x14ac:dyDescent="0.2">
      <c r="E183">
        <f>E182+256</f>
        <v>613</v>
      </c>
      <c r="F183">
        <v>3</v>
      </c>
      <c r="G183">
        <v>1</v>
      </c>
      <c r="I183">
        <v>1</v>
      </c>
    </row>
    <row r="184" spans="5:9" x14ac:dyDescent="0.2">
      <c r="E184">
        <f>E183+256</f>
        <v>869</v>
      </c>
      <c r="F184">
        <v>0</v>
      </c>
      <c r="G184">
        <v>1</v>
      </c>
      <c r="H184">
        <v>1</v>
      </c>
    </row>
    <row r="185" spans="5:9" x14ac:dyDescent="0.2">
      <c r="E185">
        <f>E184+256</f>
        <v>1125</v>
      </c>
      <c r="H185">
        <v>1</v>
      </c>
      <c r="I185">
        <v>1</v>
      </c>
    </row>
    <row r="187" spans="5:9" x14ac:dyDescent="0.2">
      <c r="E187">
        <f>CODE(F187)</f>
        <v>102</v>
      </c>
      <c r="F187" t="s">
        <v>47</v>
      </c>
      <c r="H187">
        <v>1</v>
      </c>
    </row>
    <row r="188" spans="5:9" x14ac:dyDescent="0.2">
      <c r="E188">
        <f>E187+256</f>
        <v>358</v>
      </c>
      <c r="F188">
        <v>1</v>
      </c>
      <c r="G188">
        <v>1</v>
      </c>
    </row>
    <row r="189" spans="5:9" x14ac:dyDescent="0.2">
      <c r="E189">
        <f>E188+256</f>
        <v>614</v>
      </c>
      <c r="F189">
        <v>2</v>
      </c>
      <c r="G189">
        <v>1</v>
      </c>
      <c r="H189">
        <v>1</v>
      </c>
    </row>
    <row r="190" spans="5:9" x14ac:dyDescent="0.2">
      <c r="E190">
        <f>E189+256</f>
        <v>870</v>
      </c>
      <c r="F190">
        <v>0</v>
      </c>
      <c r="G190">
        <v>1</v>
      </c>
    </row>
    <row r="191" spans="5:9" x14ac:dyDescent="0.2">
      <c r="E191">
        <f>E190+256</f>
        <v>1126</v>
      </c>
      <c r="G191">
        <v>1</v>
      </c>
    </row>
    <row r="193" spans="5:9" x14ac:dyDescent="0.2">
      <c r="E193">
        <f>CODE(F193)</f>
        <v>103</v>
      </c>
      <c r="F193" t="s">
        <v>48</v>
      </c>
      <c r="H193">
        <v>1</v>
      </c>
      <c r="I193">
        <v>1</v>
      </c>
    </row>
    <row r="194" spans="5:9" x14ac:dyDescent="0.2">
      <c r="E194">
        <f>E193+256</f>
        <v>359</v>
      </c>
      <c r="F194">
        <v>1</v>
      </c>
      <c r="G194">
        <v>1</v>
      </c>
      <c r="I194">
        <v>1</v>
      </c>
    </row>
    <row r="195" spans="5:9" x14ac:dyDescent="0.2">
      <c r="E195">
        <f>E194+256</f>
        <v>615</v>
      </c>
      <c r="F195">
        <v>3</v>
      </c>
      <c r="G195">
        <v>1</v>
      </c>
      <c r="I195">
        <v>1</v>
      </c>
    </row>
    <row r="196" spans="5:9" x14ac:dyDescent="0.2">
      <c r="E196">
        <f>E195+256</f>
        <v>871</v>
      </c>
      <c r="F196">
        <v>0</v>
      </c>
      <c r="H196">
        <v>1</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row>
    <row r="219" spans="5:9" x14ac:dyDescent="0.2">
      <c r="E219">
        <f>E218+256</f>
        <v>619</v>
      </c>
      <c r="F219">
        <v>3</v>
      </c>
      <c r="G219">
        <v>1</v>
      </c>
      <c r="I219">
        <v>1</v>
      </c>
    </row>
    <row r="220" spans="5:9" x14ac:dyDescent="0.2">
      <c r="E220">
        <f>E219+256</f>
        <v>875</v>
      </c>
      <c r="F220">
        <v>0</v>
      </c>
      <c r="G220">
        <v>1</v>
      </c>
      <c r="H220">
        <v>1</v>
      </c>
    </row>
    <row r="221" spans="5:9" x14ac:dyDescent="0.2">
      <c r="E221">
        <f>E220+256</f>
        <v>1131</v>
      </c>
      <c r="G221">
        <v>1</v>
      </c>
      <c r="I221">
        <v>1</v>
      </c>
    </row>
    <row r="223" spans="5:9" x14ac:dyDescent="0.2">
      <c r="E223">
        <f>CODE(F223)</f>
        <v>108</v>
      </c>
      <c r="F223" t="s">
        <v>53</v>
      </c>
      <c r="G223">
        <v>1</v>
      </c>
      <c r="H223">
        <v>1</v>
      </c>
    </row>
    <row r="224" spans="5:9" x14ac:dyDescent="0.2">
      <c r="E224">
        <f>E223+256</f>
        <v>364</v>
      </c>
      <c r="F224">
        <v>1</v>
      </c>
      <c r="H224">
        <v>1</v>
      </c>
    </row>
    <row r="225" spans="5:11" x14ac:dyDescent="0.2">
      <c r="E225">
        <f>E224+256</f>
        <v>620</v>
      </c>
      <c r="F225">
        <v>2</v>
      </c>
      <c r="H225">
        <v>1</v>
      </c>
    </row>
    <row r="226" spans="5:11" x14ac:dyDescent="0.2">
      <c r="E226">
        <f>E225+256</f>
        <v>876</v>
      </c>
      <c r="F226">
        <v>0</v>
      </c>
      <c r="H226">
        <v>1</v>
      </c>
    </row>
    <row r="227" spans="5:11" x14ac:dyDescent="0.2">
      <c r="E227">
        <f>E226+256</f>
        <v>1132</v>
      </c>
      <c r="H227">
        <v>1</v>
      </c>
    </row>
    <row r="229" spans="5:11" x14ac:dyDescent="0.2">
      <c r="E229">
        <f>CODE(F229)</f>
        <v>109</v>
      </c>
      <c r="F229" t="s">
        <v>54</v>
      </c>
    </row>
    <row r="230" spans="5:11" x14ac:dyDescent="0.2">
      <c r="E230">
        <f>E229+256</f>
        <v>365</v>
      </c>
      <c r="F230">
        <v>1</v>
      </c>
      <c r="G230">
        <v>1</v>
      </c>
      <c r="H230">
        <v>1</v>
      </c>
      <c r="J230">
        <v>1</v>
      </c>
    </row>
    <row r="231" spans="5:11" x14ac:dyDescent="0.2">
      <c r="E231">
        <f>E230+256</f>
        <v>621</v>
      </c>
      <c r="F231">
        <v>5</v>
      </c>
      <c r="G231">
        <v>1</v>
      </c>
      <c r="I231">
        <v>1</v>
      </c>
      <c r="K231">
        <v>1</v>
      </c>
    </row>
    <row r="232" spans="5:11" x14ac:dyDescent="0.2">
      <c r="E232">
        <f>E231+256</f>
        <v>877</v>
      </c>
      <c r="F232">
        <v>0</v>
      </c>
      <c r="G232">
        <v>1</v>
      </c>
      <c r="I232">
        <v>1</v>
      </c>
      <c r="K232">
        <v>1</v>
      </c>
    </row>
    <row r="233" spans="5:11" x14ac:dyDescent="0.2">
      <c r="E233">
        <f>E232+256</f>
        <v>1133</v>
      </c>
      <c r="G233">
        <v>1</v>
      </c>
      <c r="K233">
        <v>1</v>
      </c>
    </row>
    <row r="235" spans="5:11" x14ac:dyDescent="0.2">
      <c r="E235">
        <f>CODE(F235)</f>
        <v>110</v>
      </c>
      <c r="F235" t="s">
        <v>55</v>
      </c>
    </row>
    <row r="236" spans="5:11" x14ac:dyDescent="0.2">
      <c r="E236">
        <f>E235+256</f>
        <v>366</v>
      </c>
      <c r="F236">
        <v>1</v>
      </c>
      <c r="G236">
        <v>1</v>
      </c>
      <c r="H236">
        <v>1</v>
      </c>
    </row>
    <row r="237" spans="5:11" x14ac:dyDescent="0.2">
      <c r="E237">
        <f>E236+256</f>
        <v>622</v>
      </c>
      <c r="F237">
        <v>3</v>
      </c>
      <c r="G237">
        <v>1</v>
      </c>
      <c r="I237">
        <v>1</v>
      </c>
    </row>
    <row r="238" spans="5:11" x14ac:dyDescent="0.2">
      <c r="E238">
        <f>E237+256</f>
        <v>878</v>
      </c>
      <c r="F238">
        <v>0</v>
      </c>
      <c r="G238">
        <v>1</v>
      </c>
      <c r="I238">
        <v>1</v>
      </c>
    </row>
    <row r="239" spans="5:11" x14ac:dyDescent="0.2">
      <c r="E239">
        <f>E238+256</f>
        <v>1134</v>
      </c>
      <c r="G239">
        <v>1</v>
      </c>
      <c r="I239">
        <v>1</v>
      </c>
    </row>
    <row r="241" spans="5:9" x14ac:dyDescent="0.2">
      <c r="E241">
        <f>CODE(F241)</f>
        <v>111</v>
      </c>
      <c r="F241" t="s">
        <v>56</v>
      </c>
    </row>
    <row r="242" spans="5:9" x14ac:dyDescent="0.2">
      <c r="E242">
        <f>E241+256</f>
        <v>367</v>
      </c>
      <c r="F242">
        <v>1</v>
      </c>
      <c r="H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I249">
        <v>1</v>
      </c>
    </row>
    <row r="250" spans="5:9" x14ac:dyDescent="0.2">
      <c r="E250">
        <f>E249+256</f>
        <v>880</v>
      </c>
      <c r="F250">
        <v>0</v>
      </c>
      <c r="G250">
        <v>1</v>
      </c>
      <c r="H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4</v>
      </c>
      <c r="G255">
        <v>1</v>
      </c>
      <c r="I255">
        <v>1</v>
      </c>
    </row>
    <row r="256" spans="5:9" x14ac:dyDescent="0.2">
      <c r="E256">
        <f>E255+256</f>
        <v>881</v>
      </c>
      <c r="F256">
        <v>0</v>
      </c>
      <c r="H256">
        <v>1</v>
      </c>
      <c r="I256">
        <v>1</v>
      </c>
    </row>
    <row r="257" spans="5:10" x14ac:dyDescent="0.2">
      <c r="E257">
        <f>E256+256</f>
        <v>1137</v>
      </c>
      <c r="I257">
        <v>1</v>
      </c>
      <c r="J257">
        <v>1</v>
      </c>
    </row>
    <row r="259" spans="5:10" x14ac:dyDescent="0.2">
      <c r="E259">
        <f>CODE(F259)</f>
        <v>114</v>
      </c>
      <c r="F259" t="s">
        <v>59</v>
      </c>
      <c r="G259">
        <v>1</v>
      </c>
      <c r="I259">
        <v>1</v>
      </c>
    </row>
    <row r="260" spans="5:10" x14ac:dyDescent="0.2">
      <c r="E260">
        <f>E259+256</f>
        <v>370</v>
      </c>
      <c r="F260">
        <v>1</v>
      </c>
      <c r="G260">
        <v>1</v>
      </c>
      <c r="H260">
        <v>1</v>
      </c>
    </row>
    <row r="261" spans="5:10" x14ac:dyDescent="0.2">
      <c r="E261">
        <f>E260+256</f>
        <v>626</v>
      </c>
      <c r="F261">
        <v>3</v>
      </c>
      <c r="G261">
        <v>1</v>
      </c>
    </row>
    <row r="262" spans="5:10" x14ac:dyDescent="0.2">
      <c r="E262">
        <f>E261+256</f>
        <v>882</v>
      </c>
      <c r="F262">
        <v>0</v>
      </c>
      <c r="G262">
        <v>1</v>
      </c>
    </row>
    <row r="263" spans="5:10" x14ac:dyDescent="0.2">
      <c r="E263">
        <f>E262+256</f>
        <v>1138</v>
      </c>
      <c r="G263">
        <v>1</v>
      </c>
    </row>
    <row r="265" spans="5:10" x14ac:dyDescent="0.2">
      <c r="E265">
        <f>CODE(F265)</f>
        <v>115</v>
      </c>
      <c r="F265" t="s">
        <v>60</v>
      </c>
    </row>
    <row r="266" spans="5:10" x14ac:dyDescent="0.2">
      <c r="E266">
        <f>E265+256</f>
        <v>371</v>
      </c>
      <c r="F266">
        <v>1</v>
      </c>
      <c r="G266">
        <v>1</v>
      </c>
      <c r="H266">
        <v>1</v>
      </c>
    </row>
    <row r="267" spans="5:10" x14ac:dyDescent="0.2">
      <c r="E267">
        <f>E266+256</f>
        <v>627</v>
      </c>
      <c r="F267">
        <v>2</v>
      </c>
      <c r="G267">
        <v>1</v>
      </c>
    </row>
    <row r="268" spans="5:10" x14ac:dyDescent="0.2">
      <c r="E268">
        <f>E267+256</f>
        <v>883</v>
      </c>
      <c r="F268">
        <v>0</v>
      </c>
      <c r="H268">
        <v>1</v>
      </c>
    </row>
    <row r="269" spans="5:10" x14ac:dyDescent="0.2">
      <c r="E269">
        <f>E268+256</f>
        <v>1139</v>
      </c>
      <c r="G269">
        <v>1</v>
      </c>
      <c r="H269">
        <v>1</v>
      </c>
    </row>
    <row r="271" spans="5:10" x14ac:dyDescent="0.2">
      <c r="E271">
        <f>CODE(F271)</f>
        <v>116</v>
      </c>
      <c r="F271" t="s">
        <v>61</v>
      </c>
      <c r="G271">
        <v>1</v>
      </c>
    </row>
    <row r="272" spans="5:10" x14ac:dyDescent="0.2">
      <c r="E272">
        <f>E271+256</f>
        <v>372</v>
      </c>
      <c r="F272">
        <v>1</v>
      </c>
      <c r="G272">
        <v>1</v>
      </c>
      <c r="H272">
        <v>1</v>
      </c>
    </row>
    <row r="273" spans="5:9" x14ac:dyDescent="0.2">
      <c r="E273">
        <f>E272+256</f>
        <v>628</v>
      </c>
      <c r="F273">
        <v>2</v>
      </c>
      <c r="G273">
        <v>1</v>
      </c>
    </row>
    <row r="274" spans="5:9" x14ac:dyDescent="0.2">
      <c r="E274">
        <f>E273+256</f>
        <v>884</v>
      </c>
      <c r="F274">
        <v>0</v>
      </c>
      <c r="G274">
        <v>1</v>
      </c>
    </row>
    <row r="275" spans="5:9" x14ac:dyDescent="0.2">
      <c r="E275">
        <f>E274+256</f>
        <v>1140</v>
      </c>
      <c r="H275">
        <v>1</v>
      </c>
    </row>
    <row r="277" spans="5:9" x14ac:dyDescent="0.2">
      <c r="E277">
        <f>CODE(F277)</f>
        <v>117</v>
      </c>
      <c r="F277" t="s">
        <v>62</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G281">
        <v>1</v>
      </c>
      <c r="H281">
        <v>1</v>
      </c>
      <c r="I281">
        <v>1</v>
      </c>
    </row>
    <row r="283" spans="5:9" x14ac:dyDescent="0.2">
      <c r="E283">
        <f>CODE(F283)</f>
        <v>118</v>
      </c>
      <c r="F283" t="s">
        <v>63</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H286">
        <v>1</v>
      </c>
    </row>
    <row r="287" spans="5:9" x14ac:dyDescent="0.2">
      <c r="E287">
        <f>E286+256</f>
        <v>1142</v>
      </c>
      <c r="H287">
        <v>1</v>
      </c>
    </row>
    <row r="289" spans="5:11" x14ac:dyDescent="0.2">
      <c r="E289">
        <f>CODE(F289)</f>
        <v>119</v>
      </c>
      <c r="F289" t="s">
        <v>64</v>
      </c>
    </row>
    <row r="290" spans="5:11" x14ac:dyDescent="0.2">
      <c r="E290">
        <f>E289+256</f>
        <v>375</v>
      </c>
      <c r="F290">
        <v>1</v>
      </c>
      <c r="G290">
        <v>1</v>
      </c>
      <c r="K290">
        <v>1</v>
      </c>
    </row>
    <row r="291" spans="5:11" x14ac:dyDescent="0.2">
      <c r="E291">
        <f>E290+256</f>
        <v>631</v>
      </c>
      <c r="F291">
        <v>5</v>
      </c>
      <c r="G291">
        <v>1</v>
      </c>
      <c r="I291">
        <v>1</v>
      </c>
      <c r="K291">
        <v>1</v>
      </c>
    </row>
    <row r="292" spans="5:11" x14ac:dyDescent="0.2">
      <c r="E292">
        <f>E291+256</f>
        <v>887</v>
      </c>
      <c r="F292">
        <v>0</v>
      </c>
      <c r="G292">
        <v>1</v>
      </c>
      <c r="I292">
        <v>1</v>
      </c>
      <c r="K292">
        <v>1</v>
      </c>
    </row>
    <row r="293" spans="5:11" x14ac:dyDescent="0.2">
      <c r="E293">
        <f>E292+256</f>
        <v>1143</v>
      </c>
      <c r="H293">
        <v>1</v>
      </c>
      <c r="J293">
        <v>1</v>
      </c>
    </row>
    <row r="295" spans="5:11" x14ac:dyDescent="0.2">
      <c r="E295">
        <f>CODE(F295)</f>
        <v>120</v>
      </c>
      <c r="F295" t="s">
        <v>65</v>
      </c>
    </row>
    <row r="296" spans="5:11" x14ac:dyDescent="0.2">
      <c r="E296">
        <f>E295+256</f>
        <v>376</v>
      </c>
      <c r="F296">
        <v>1</v>
      </c>
      <c r="G296">
        <v>1</v>
      </c>
      <c r="I296">
        <v>1</v>
      </c>
    </row>
    <row r="297" spans="5:11" x14ac:dyDescent="0.2">
      <c r="E297">
        <f>E296+256</f>
        <v>632</v>
      </c>
      <c r="F297">
        <v>3</v>
      </c>
      <c r="H297">
        <v>1</v>
      </c>
    </row>
    <row r="298" spans="5:11" x14ac:dyDescent="0.2">
      <c r="E298">
        <f>E297+256</f>
        <v>888</v>
      </c>
      <c r="F298">
        <v>0</v>
      </c>
      <c r="H298">
        <v>1</v>
      </c>
    </row>
    <row r="299" spans="5:11" x14ac:dyDescent="0.2">
      <c r="E299">
        <f>E298+256</f>
        <v>1144</v>
      </c>
      <c r="G299">
        <v>1</v>
      </c>
      <c r="I299">
        <v>1</v>
      </c>
    </row>
    <row r="301" spans="5:11" x14ac:dyDescent="0.2">
      <c r="E301">
        <f>CODE(F301)</f>
        <v>121</v>
      </c>
      <c r="F301" t="s">
        <v>66</v>
      </c>
      <c r="G301">
        <v>1</v>
      </c>
      <c r="I301">
        <v>1</v>
      </c>
    </row>
    <row r="302" spans="5:11" x14ac:dyDescent="0.2">
      <c r="E302">
        <f>E301+256</f>
        <v>377</v>
      </c>
      <c r="F302">
        <v>1</v>
      </c>
      <c r="G302">
        <v>1</v>
      </c>
      <c r="I302">
        <v>1</v>
      </c>
    </row>
    <row r="303" spans="5:11" x14ac:dyDescent="0.2">
      <c r="E303">
        <f>E302+256</f>
        <v>633</v>
      </c>
      <c r="F303">
        <v>3</v>
      </c>
      <c r="G303">
        <v>1</v>
      </c>
      <c r="I303">
        <v>1</v>
      </c>
    </row>
    <row r="304" spans="5:11" x14ac:dyDescent="0.2">
      <c r="E304">
        <f>E303+256</f>
        <v>889</v>
      </c>
      <c r="F304">
        <v>0</v>
      </c>
      <c r="H304">
        <v>1</v>
      </c>
    </row>
    <row r="305" spans="5:10" x14ac:dyDescent="0.2">
      <c r="E305">
        <f>E304+256</f>
        <v>1145</v>
      </c>
      <c r="G305">
        <v>1</v>
      </c>
    </row>
    <row r="307" spans="5:10" x14ac:dyDescent="0.2">
      <c r="E307">
        <f>CODE(F307)</f>
        <v>122</v>
      </c>
      <c r="F307" t="s">
        <v>67</v>
      </c>
    </row>
    <row r="308" spans="5:10" x14ac:dyDescent="0.2">
      <c r="E308">
        <f>E307+256</f>
        <v>378</v>
      </c>
      <c r="F308">
        <v>1</v>
      </c>
      <c r="G308">
        <v>1</v>
      </c>
      <c r="H308">
        <v>1</v>
      </c>
      <c r="I308">
        <v>1</v>
      </c>
      <c r="J308">
        <v>1</v>
      </c>
    </row>
    <row r="309" spans="5:10" x14ac:dyDescent="0.2">
      <c r="E309">
        <f>E308+256</f>
        <v>634</v>
      </c>
      <c r="F309">
        <v>4</v>
      </c>
      <c r="I309">
        <v>1</v>
      </c>
    </row>
    <row r="310" spans="5:10" x14ac:dyDescent="0.2">
      <c r="E310">
        <f>E309+256</f>
        <v>890</v>
      </c>
      <c r="F310">
        <v>0</v>
      </c>
      <c r="H310">
        <v>1</v>
      </c>
    </row>
    <row r="311" spans="5:10" x14ac:dyDescent="0.2">
      <c r="E311">
        <f>E310+256</f>
        <v>1146</v>
      </c>
      <c r="G311">
        <v>1</v>
      </c>
      <c r="H311">
        <v>1</v>
      </c>
      <c r="I311">
        <v>1</v>
      </c>
      <c r="J311">
        <v>1</v>
      </c>
    </row>
    <row r="313" spans="5:10" x14ac:dyDescent="0.2">
      <c r="E313">
        <f>CODE(F313)</f>
        <v>32</v>
      </c>
      <c r="F313" t="s">
        <v>21</v>
      </c>
    </row>
    <row r="314" spans="5:10" x14ac:dyDescent="0.2">
      <c r="E314">
        <f>E313+256</f>
        <v>288</v>
      </c>
      <c r="F314">
        <v>1</v>
      </c>
    </row>
    <row r="315" spans="5:10" x14ac:dyDescent="0.2">
      <c r="E315">
        <f>E314+256</f>
        <v>544</v>
      </c>
      <c r="F315">
        <v>0</v>
      </c>
    </row>
    <row r="316" spans="5:10" x14ac:dyDescent="0.2">
      <c r="E316">
        <f>E315+256</f>
        <v>800</v>
      </c>
      <c r="F316">
        <v>0</v>
      </c>
    </row>
    <row r="317" spans="5:10" x14ac:dyDescent="0.2">
      <c r="E317">
        <f>E316+256</f>
        <v>1056</v>
      </c>
    </row>
    <row r="319" spans="5:10" x14ac:dyDescent="0.2">
      <c r="E319">
        <f>CODE(F319)</f>
        <v>49</v>
      </c>
      <c r="F319">
        <v>1</v>
      </c>
      <c r="H319">
        <v>1</v>
      </c>
    </row>
    <row r="320" spans="5:10" x14ac:dyDescent="0.2">
      <c r="E320">
        <f>E319+256</f>
        <v>305</v>
      </c>
      <c r="F320">
        <v>1</v>
      </c>
      <c r="G320">
        <v>1</v>
      </c>
      <c r="H320">
        <v>1</v>
      </c>
    </row>
    <row r="321" spans="5:9" x14ac:dyDescent="0.2">
      <c r="E321">
        <f>E320+256</f>
        <v>561</v>
      </c>
      <c r="F321">
        <v>3</v>
      </c>
      <c r="H321">
        <v>1</v>
      </c>
    </row>
    <row r="322" spans="5:9" x14ac:dyDescent="0.2">
      <c r="E322">
        <f>E321+256</f>
        <v>817</v>
      </c>
      <c r="F322">
        <v>0</v>
      </c>
      <c r="H322">
        <v>1</v>
      </c>
    </row>
    <row r="323" spans="5:9" x14ac:dyDescent="0.2">
      <c r="E323">
        <f>E322+256</f>
        <v>1073</v>
      </c>
      <c r="G323">
        <v>1</v>
      </c>
      <c r="H323">
        <v>1</v>
      </c>
      <c r="I323">
        <v>1</v>
      </c>
    </row>
    <row r="325" spans="5:9" x14ac:dyDescent="0.2">
      <c r="E325">
        <f>CODE(F325)</f>
        <v>50</v>
      </c>
      <c r="F325">
        <v>2</v>
      </c>
      <c r="G325">
        <v>1</v>
      </c>
      <c r="H325">
        <v>1</v>
      </c>
    </row>
    <row r="326" spans="5:9" x14ac:dyDescent="0.2">
      <c r="E326">
        <f>E325+256</f>
        <v>306</v>
      </c>
      <c r="F326">
        <v>1</v>
      </c>
      <c r="I326">
        <v>1</v>
      </c>
    </row>
    <row r="327" spans="5:9" x14ac:dyDescent="0.2">
      <c r="E327">
        <f>E326+256</f>
        <v>562</v>
      </c>
      <c r="F327">
        <v>3</v>
      </c>
      <c r="H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row>
    <row r="332" spans="5:9" x14ac:dyDescent="0.2">
      <c r="E332">
        <f>E331+256</f>
        <v>307</v>
      </c>
      <c r="F332">
        <v>1</v>
      </c>
      <c r="I332">
        <v>1</v>
      </c>
    </row>
    <row r="333" spans="5:9" x14ac:dyDescent="0.2">
      <c r="E333">
        <f>E332+256</f>
        <v>563</v>
      </c>
      <c r="F333">
        <v>3</v>
      </c>
      <c r="H333">
        <v>1</v>
      </c>
    </row>
    <row r="334" spans="5:9" x14ac:dyDescent="0.2">
      <c r="E334">
        <f>E333+256</f>
        <v>819</v>
      </c>
      <c r="F334">
        <v>0</v>
      </c>
      <c r="I334">
        <v>1</v>
      </c>
    </row>
    <row r="335" spans="5:9" x14ac:dyDescent="0.2">
      <c r="E335">
        <f>E334+256</f>
        <v>1075</v>
      </c>
      <c r="G335">
        <v>1</v>
      </c>
      <c r="H335">
        <v>1</v>
      </c>
    </row>
    <row r="337" spans="5:9" x14ac:dyDescent="0.2">
      <c r="E337">
        <f>CODE(F337)</f>
        <v>52</v>
      </c>
      <c r="F337">
        <v>4</v>
      </c>
      <c r="G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row>
    <row r="346" spans="5:9" x14ac:dyDescent="0.2">
      <c r="E346">
        <f>E345+256</f>
        <v>821</v>
      </c>
      <c r="F346">
        <v>0</v>
      </c>
      <c r="I346">
        <v>1</v>
      </c>
    </row>
    <row r="347" spans="5:9" x14ac:dyDescent="0.2">
      <c r="E347">
        <f>E346+256</f>
        <v>1077</v>
      </c>
      <c r="G347">
        <v>1</v>
      </c>
      <c r="H347">
        <v>1</v>
      </c>
    </row>
    <row r="349" spans="5:9" x14ac:dyDescent="0.2">
      <c r="E349">
        <f>CODE(F349)</f>
        <v>54</v>
      </c>
      <c r="F349">
        <v>6</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H357">
        <v>1</v>
      </c>
    </row>
    <row r="358" spans="5:9" x14ac:dyDescent="0.2">
      <c r="E358">
        <f>E357+256</f>
        <v>823</v>
      </c>
      <c r="F358">
        <v>0</v>
      </c>
      <c r="G358">
        <v>1</v>
      </c>
    </row>
    <row r="359" spans="5:9" x14ac:dyDescent="0.2">
      <c r="E359">
        <f>E358+256</f>
        <v>1079</v>
      </c>
      <c r="G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row>
    <row r="373" spans="5:9" x14ac:dyDescent="0.2">
      <c r="E373">
        <f>CODE(F373)</f>
        <v>48</v>
      </c>
      <c r="F373">
        <v>0</v>
      </c>
      <c r="G373">
        <v>1</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c r="I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8" x14ac:dyDescent="0.2">
      <c r="E385">
        <f>CODE(F385)</f>
        <v>58</v>
      </c>
      <c r="F385" t="s">
        <v>69</v>
      </c>
    </row>
    <row r="386" spans="5:8" x14ac:dyDescent="0.2">
      <c r="E386">
        <f>E385+256</f>
        <v>314</v>
      </c>
      <c r="F386">
        <v>1</v>
      </c>
      <c r="G386">
        <v>1</v>
      </c>
    </row>
    <row r="387" spans="5:8" x14ac:dyDescent="0.2">
      <c r="E387">
        <f>E386+256</f>
        <v>570</v>
      </c>
      <c r="F387">
        <v>1</v>
      </c>
    </row>
    <row r="388" spans="5:8" x14ac:dyDescent="0.2">
      <c r="E388">
        <f>E387+256</f>
        <v>826</v>
      </c>
      <c r="F388">
        <v>0</v>
      </c>
      <c r="G388">
        <v>1</v>
      </c>
    </row>
    <row r="389" spans="5:8" x14ac:dyDescent="0.2">
      <c r="E389">
        <f>E388+256</f>
        <v>1082</v>
      </c>
    </row>
    <row r="391" spans="5:8" x14ac:dyDescent="0.2">
      <c r="E391">
        <f>CODE(F391)</f>
        <v>59</v>
      </c>
      <c r="F391" t="s">
        <v>70</v>
      </c>
    </row>
    <row r="392" spans="5:8" x14ac:dyDescent="0.2">
      <c r="E392">
        <f>E391+256</f>
        <v>315</v>
      </c>
      <c r="F392">
        <v>1</v>
      </c>
      <c r="H392">
        <v>1</v>
      </c>
    </row>
    <row r="393" spans="5:8" x14ac:dyDescent="0.2">
      <c r="E393">
        <f>E392+256</f>
        <v>571</v>
      </c>
      <c r="F393">
        <v>2</v>
      </c>
    </row>
    <row r="394" spans="5:8" x14ac:dyDescent="0.2">
      <c r="E394">
        <f>E393+256</f>
        <v>827</v>
      </c>
      <c r="F394">
        <v>0</v>
      </c>
      <c r="H394">
        <v>1</v>
      </c>
    </row>
    <row r="395" spans="5:8" x14ac:dyDescent="0.2">
      <c r="E395">
        <f>E394+256</f>
        <v>1083</v>
      </c>
      <c r="G395">
        <v>1</v>
      </c>
    </row>
    <row r="397" spans="5:8" x14ac:dyDescent="0.2">
      <c r="E397">
        <f>CODE(F397)</f>
        <v>44</v>
      </c>
      <c r="F397" t="s">
        <v>71</v>
      </c>
    </row>
    <row r="398" spans="5:8" x14ac:dyDescent="0.2">
      <c r="E398">
        <f>E397+256</f>
        <v>300</v>
      </c>
      <c r="F398">
        <v>1</v>
      </c>
    </row>
    <row r="399" spans="5:8" x14ac:dyDescent="0.2">
      <c r="E399">
        <f>E398+256</f>
        <v>556</v>
      </c>
      <c r="F399">
        <v>2</v>
      </c>
      <c r="H399">
        <v>1</v>
      </c>
    </row>
    <row r="400" spans="5:8" x14ac:dyDescent="0.2">
      <c r="E400">
        <f>E399+256</f>
        <v>812</v>
      </c>
      <c r="F400">
        <v>0</v>
      </c>
      <c r="H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c r="G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c r="G411">
        <v>1</v>
      </c>
      <c r="I411">
        <v>1</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G421">
        <v>1</v>
      </c>
    </row>
    <row r="422" spans="5:9" x14ac:dyDescent="0.2">
      <c r="E422">
        <f>E421+256</f>
        <v>289</v>
      </c>
      <c r="F422">
        <v>1</v>
      </c>
      <c r="G422">
        <v>1</v>
      </c>
    </row>
    <row r="423" spans="5:9" x14ac:dyDescent="0.2">
      <c r="E423">
        <f>E422+256</f>
        <v>545</v>
      </c>
      <c r="F423">
        <v>1</v>
      </c>
      <c r="G423">
        <v>1</v>
      </c>
    </row>
    <row r="424" spans="5:9" x14ac:dyDescent="0.2">
      <c r="E424">
        <f>E423+256</f>
        <v>801</v>
      </c>
      <c r="F424">
        <v>0</v>
      </c>
    </row>
    <row r="425" spans="5:9" x14ac:dyDescent="0.2">
      <c r="E425">
        <f>E424+256</f>
        <v>1057</v>
      </c>
      <c r="G425">
        <v>1</v>
      </c>
    </row>
    <row r="427" spans="5:9" x14ac:dyDescent="0.2">
      <c r="E427">
        <f>CODE(F427)</f>
        <v>63</v>
      </c>
      <c r="F427" t="s">
        <v>76</v>
      </c>
      <c r="G427">
        <v>1</v>
      </c>
      <c r="H427">
        <v>1</v>
      </c>
    </row>
    <row r="428" spans="5:9" x14ac:dyDescent="0.2">
      <c r="E428">
        <f>E427+256</f>
        <v>319</v>
      </c>
      <c r="F428">
        <v>1</v>
      </c>
      <c r="I428">
        <v>1</v>
      </c>
    </row>
    <row r="429" spans="5:9" x14ac:dyDescent="0.2">
      <c r="E429">
        <f>E428+256</f>
        <v>575</v>
      </c>
      <c r="F429">
        <v>3</v>
      </c>
      <c r="H429">
        <v>1</v>
      </c>
    </row>
    <row r="430" spans="5:9" x14ac:dyDescent="0.2">
      <c r="E430">
        <f>E429+256</f>
        <v>831</v>
      </c>
      <c r="F430">
        <v>0</v>
      </c>
    </row>
    <row r="431" spans="5:9" x14ac:dyDescent="0.2">
      <c r="E431">
        <f>E430+256</f>
        <v>1087</v>
      </c>
      <c r="H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11" x14ac:dyDescent="0.2">
      <c r="E449">
        <f>E448+256</f>
        <v>1069</v>
      </c>
    </row>
    <row r="451" spans="5:11" x14ac:dyDescent="0.2">
      <c r="E451">
        <f>CODE(F451)</f>
        <v>42</v>
      </c>
      <c r="F451" s="13" t="s">
        <v>80</v>
      </c>
      <c r="I451">
        <v>1</v>
      </c>
    </row>
    <row r="452" spans="5:11" x14ac:dyDescent="0.2">
      <c r="E452">
        <f>E451+256</f>
        <v>298</v>
      </c>
      <c r="F452">
        <v>1</v>
      </c>
      <c r="G452">
        <v>1</v>
      </c>
      <c r="I452">
        <v>1</v>
      </c>
      <c r="K452">
        <v>1</v>
      </c>
    </row>
    <row r="453" spans="5:11" x14ac:dyDescent="0.2">
      <c r="E453">
        <f>E452+256</f>
        <v>554</v>
      </c>
      <c r="F453">
        <v>5</v>
      </c>
      <c r="H453">
        <v>1</v>
      </c>
      <c r="I453">
        <v>1</v>
      </c>
      <c r="J453">
        <v>1</v>
      </c>
    </row>
    <row r="454" spans="5:11" x14ac:dyDescent="0.2">
      <c r="E454">
        <f>E453+256</f>
        <v>810</v>
      </c>
      <c r="F454">
        <v>0</v>
      </c>
      <c r="G454">
        <v>1</v>
      </c>
      <c r="I454">
        <v>1</v>
      </c>
      <c r="K454">
        <v>1</v>
      </c>
    </row>
    <row r="455" spans="5:11" x14ac:dyDescent="0.2">
      <c r="E455">
        <f>E454+256</f>
        <v>1066</v>
      </c>
      <c r="I455">
        <v>1</v>
      </c>
    </row>
    <row r="457" spans="5:11" x14ac:dyDescent="0.2">
      <c r="E457">
        <f>CODE(F457)</f>
        <v>47</v>
      </c>
      <c r="F457" s="13" t="s">
        <v>81</v>
      </c>
      <c r="I457">
        <v>1</v>
      </c>
    </row>
    <row r="458" spans="5:11" x14ac:dyDescent="0.2">
      <c r="E458">
        <f>E457+256</f>
        <v>303</v>
      </c>
      <c r="F458">
        <v>1</v>
      </c>
      <c r="I458">
        <v>1</v>
      </c>
    </row>
    <row r="459" spans="5:11" x14ac:dyDescent="0.2">
      <c r="E459">
        <f>E458+256</f>
        <v>559</v>
      </c>
      <c r="F459">
        <v>3</v>
      </c>
      <c r="H459">
        <v>1</v>
      </c>
    </row>
    <row r="460" spans="5:11" x14ac:dyDescent="0.2">
      <c r="E460">
        <f>E459+256</f>
        <v>815</v>
      </c>
      <c r="F460">
        <v>0</v>
      </c>
      <c r="G460">
        <v>1</v>
      </c>
    </row>
    <row r="461" spans="5:11" x14ac:dyDescent="0.2">
      <c r="E461">
        <f>E460+256</f>
        <v>1071</v>
      </c>
      <c r="G461">
        <v>1</v>
      </c>
    </row>
    <row r="463" spans="5:11" x14ac:dyDescent="0.2">
      <c r="E463">
        <f>CODE(F463)</f>
        <v>61</v>
      </c>
      <c r="F463" s="13" t="s">
        <v>82</v>
      </c>
    </row>
    <row r="464" spans="5:11"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G476">
        <v>1</v>
      </c>
    </row>
    <row r="477" spans="5:9" x14ac:dyDescent="0.2">
      <c r="E477">
        <f>E476+256</f>
        <v>604</v>
      </c>
      <c r="F477">
        <v>3</v>
      </c>
      <c r="H477">
        <v>1</v>
      </c>
    </row>
    <row r="478" spans="5:9" x14ac:dyDescent="0.2">
      <c r="E478">
        <f>E477+256</f>
        <v>860</v>
      </c>
      <c r="F478">
        <v>0</v>
      </c>
      <c r="I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G534:K661 M498:M524 G319:I473 G475:I479 G481:I491 G493:I497 G499:I503 J500:J502 K501 G505:K509 G511:K515 G517:K521 J140:J142 J139:K139 J229:K233 J257 H290:K293 H294:I306 G523:I533 G312:I317 G307:K311 K312 J453 K454 K452 L1:L534 J124 J80:K80 K81:K83 J74:K74 K75:K79 K73 K121:K125 G2:G306 H133:K137 H138:I289 I1:I132 K2 G1:H1 H2:H132">
    <cfRule type="cellIs" dxfId="28" priority="4" stopIfTrue="1" operator="equal">
      <formula>1</formula>
    </cfRule>
  </conditionalFormatting>
  <pageMargins left="0.74803149606299213" right="0.74803149606299213" top="0.98425196850393704" bottom="0.98425196850393704" header="0.51181102362204722" footer="0.51181102362204722"/>
  <pageSetup paperSize="9" scale="31"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70"/>
  <sheetViews>
    <sheetView workbookViewId="0">
      <selection activeCell="B10" sqref="B10"/>
    </sheetView>
  </sheetViews>
  <sheetFormatPr defaultRowHeight="14.25" x14ac:dyDescent="0.2"/>
  <cols>
    <col min="1" max="1" width="20.625" style="12" customWidth="1"/>
    <col min="2" max="2" width="26" customWidth="1"/>
    <col min="3" max="3" width="27.875" bestFit="1" customWidth="1"/>
    <col min="4" max="4" width="25.5" customWidth="1"/>
    <col min="5" max="5" width="32.125" customWidth="1"/>
    <col min="6" max="6" width="27.625" customWidth="1"/>
    <col min="7" max="7" width="40.75" customWidth="1"/>
  </cols>
  <sheetData>
    <row r="1" spans="1:6" x14ac:dyDescent="0.2">
      <c r="A1" s="22" t="s">
        <v>159</v>
      </c>
      <c r="B1" t="s">
        <v>117</v>
      </c>
      <c r="C1" t="s">
        <v>100</v>
      </c>
      <c r="D1" t="s">
        <v>160</v>
      </c>
      <c r="E1" t="s">
        <v>202</v>
      </c>
      <c r="F1" t="s">
        <v>161</v>
      </c>
    </row>
    <row r="2" spans="1:6" s="21" customFormat="1" x14ac:dyDescent="0.2">
      <c r="A2" s="24" t="s">
        <v>42</v>
      </c>
      <c r="D2" s="20"/>
    </row>
    <row r="3" spans="1:6" s="21" customFormat="1" x14ac:dyDescent="0.2">
      <c r="A3" s="24" t="s">
        <v>43</v>
      </c>
      <c r="D3" s="20"/>
    </row>
    <row r="4" spans="1:6" s="21" customFormat="1" x14ac:dyDescent="0.2">
      <c r="A4" s="23" t="s">
        <v>44</v>
      </c>
      <c r="B4" s="21" t="b">
        <v>0</v>
      </c>
      <c r="C4" s="21" t="s">
        <v>102</v>
      </c>
      <c r="D4" s="20" t="s">
        <v>101</v>
      </c>
    </row>
    <row r="5" spans="1:6" s="21" customFormat="1" ht="42.75" x14ac:dyDescent="0.2">
      <c r="A5" s="23" t="s">
        <v>45</v>
      </c>
      <c r="B5" s="21" t="b">
        <v>0</v>
      </c>
      <c r="C5" s="21" t="s">
        <v>127</v>
      </c>
      <c r="D5" s="20" t="s">
        <v>130</v>
      </c>
    </row>
    <row r="6" spans="1:6" s="21" customFormat="1" x14ac:dyDescent="0.2">
      <c r="A6" s="23" t="s">
        <v>46</v>
      </c>
      <c r="B6" s="21" t="s">
        <v>116</v>
      </c>
      <c r="C6" s="21" t="s">
        <v>105</v>
      </c>
      <c r="D6" s="20" t="s">
        <v>99</v>
      </c>
    </row>
    <row r="7" spans="1:6" s="21" customFormat="1" x14ac:dyDescent="0.2">
      <c r="A7" s="23" t="s">
        <v>47</v>
      </c>
      <c r="C7" s="21" t="s">
        <v>43</v>
      </c>
      <c r="D7" s="21" t="s">
        <v>162</v>
      </c>
    </row>
    <row r="8" spans="1:6" s="21" customFormat="1" x14ac:dyDescent="0.2">
      <c r="A8" s="24" t="s">
        <v>48</v>
      </c>
      <c r="D8" s="20"/>
    </row>
    <row r="9" spans="1:6" s="21" customFormat="1" x14ac:dyDescent="0.2">
      <c r="A9" s="24" t="s">
        <v>49</v>
      </c>
      <c r="D9" s="20"/>
    </row>
    <row r="10" spans="1:6" s="21" customFormat="1" x14ac:dyDescent="0.2">
      <c r="A10" s="23" t="s">
        <v>50</v>
      </c>
      <c r="C10" s="21" t="s">
        <v>105</v>
      </c>
      <c r="D10" s="20" t="s">
        <v>106</v>
      </c>
    </row>
    <row r="11" spans="1:6" s="21" customFormat="1" x14ac:dyDescent="0.2">
      <c r="A11" s="24" t="s">
        <v>51</v>
      </c>
      <c r="D11" s="20"/>
    </row>
    <row r="12" spans="1:6" s="21" customFormat="1" ht="42.75" x14ac:dyDescent="0.2">
      <c r="A12" s="23" t="s">
        <v>52</v>
      </c>
      <c r="C12" s="21" t="s">
        <v>105</v>
      </c>
      <c r="D12" s="20" t="s">
        <v>114</v>
      </c>
    </row>
    <row r="13" spans="1:6" s="21" customFormat="1" ht="28.5" x14ac:dyDescent="0.2">
      <c r="A13" s="23" t="s">
        <v>53</v>
      </c>
      <c r="C13" s="21" t="s">
        <v>43</v>
      </c>
      <c r="D13" s="20" t="s">
        <v>163</v>
      </c>
    </row>
    <row r="14" spans="1:6" s="21" customFormat="1" x14ac:dyDescent="0.2">
      <c r="A14" s="24" t="s">
        <v>54</v>
      </c>
      <c r="D14" s="20"/>
    </row>
    <row r="15" spans="1:6" s="21" customFormat="1" x14ac:dyDescent="0.2">
      <c r="A15" s="24" t="s">
        <v>55</v>
      </c>
      <c r="D15" s="20"/>
    </row>
    <row r="16" spans="1:6" s="21" customFormat="1" x14ac:dyDescent="0.2">
      <c r="A16" s="24" t="s">
        <v>56</v>
      </c>
      <c r="D16" s="20"/>
    </row>
    <row r="17" spans="1:4" s="21" customFormat="1" x14ac:dyDescent="0.2">
      <c r="A17" s="23" t="s">
        <v>57</v>
      </c>
      <c r="C17" s="21" t="s">
        <v>127</v>
      </c>
      <c r="D17" s="20" t="s">
        <v>109</v>
      </c>
    </row>
    <row r="18" spans="1:4" s="21" customFormat="1" x14ac:dyDescent="0.2">
      <c r="A18" s="23" t="s">
        <v>58</v>
      </c>
      <c r="D18" s="20"/>
    </row>
    <row r="19" spans="1:4" s="21" customFormat="1" x14ac:dyDescent="0.2">
      <c r="A19" s="23" t="s">
        <v>59</v>
      </c>
      <c r="B19" s="21" t="s">
        <v>116</v>
      </c>
      <c r="C19" s="21" t="s">
        <v>103</v>
      </c>
      <c r="D19" s="20" t="s">
        <v>104</v>
      </c>
    </row>
    <row r="20" spans="1:4" s="21" customFormat="1" x14ac:dyDescent="0.2">
      <c r="A20" s="23" t="s">
        <v>60</v>
      </c>
      <c r="C20" s="21" t="s">
        <v>45</v>
      </c>
      <c r="D20" s="20" t="s">
        <v>2</v>
      </c>
    </row>
    <row r="21" spans="1:4" s="21" customFormat="1" ht="57" x14ac:dyDescent="0.2">
      <c r="A21" s="23" t="s">
        <v>61</v>
      </c>
      <c r="B21" s="21" t="s">
        <v>134</v>
      </c>
      <c r="C21" s="21" t="s">
        <v>132</v>
      </c>
      <c r="D21" s="20" t="s">
        <v>133</v>
      </c>
    </row>
    <row r="22" spans="1:4" s="21" customFormat="1" x14ac:dyDescent="0.2">
      <c r="A22" s="24" t="s">
        <v>62</v>
      </c>
      <c r="D22" s="20"/>
    </row>
    <row r="23" spans="1:4" s="21" customFormat="1" x14ac:dyDescent="0.2">
      <c r="A23" s="24" t="s">
        <v>63</v>
      </c>
      <c r="D23" s="20"/>
    </row>
    <row r="24" spans="1:4" s="21" customFormat="1" x14ac:dyDescent="0.2">
      <c r="A24" s="24" t="s">
        <v>64</v>
      </c>
      <c r="D24" s="20"/>
    </row>
    <row r="25" spans="1:4" s="21" customFormat="1" ht="42.75" x14ac:dyDescent="0.2">
      <c r="A25" s="23" t="s">
        <v>65</v>
      </c>
      <c r="C25" s="21" t="s">
        <v>108</v>
      </c>
      <c r="D25" s="20" t="s">
        <v>115</v>
      </c>
    </row>
    <row r="26" spans="1:4" s="21" customFormat="1" x14ac:dyDescent="0.2">
      <c r="A26" s="24" t="s">
        <v>66</v>
      </c>
      <c r="D26" s="20"/>
    </row>
    <row r="27" spans="1:4" s="21" customFormat="1" x14ac:dyDescent="0.2">
      <c r="A27" s="24" t="s">
        <v>67</v>
      </c>
      <c r="D27" s="20"/>
    </row>
    <row r="28" spans="1:4" s="21" customFormat="1" x14ac:dyDescent="0.2">
      <c r="A28" s="23" t="s">
        <v>82</v>
      </c>
      <c r="C28" s="21" t="s">
        <v>107</v>
      </c>
      <c r="D28" s="20"/>
    </row>
    <row r="30" spans="1:4" x14ac:dyDescent="0.2">
      <c r="A30" t="s">
        <v>110</v>
      </c>
      <c r="B30" t="s">
        <v>158</v>
      </c>
    </row>
    <row r="31" spans="1:4" x14ac:dyDescent="0.2">
      <c r="A31" s="22" t="s">
        <v>45</v>
      </c>
      <c r="B31" t="s">
        <v>111</v>
      </c>
    </row>
    <row r="32" spans="1:4" x14ac:dyDescent="0.2">
      <c r="A32" s="22" t="s">
        <v>43</v>
      </c>
      <c r="B32" t="s">
        <v>112</v>
      </c>
    </row>
    <row r="33" spans="1:6" x14ac:dyDescent="0.2">
      <c r="A33" s="22" t="s">
        <v>60</v>
      </c>
      <c r="B33" t="s">
        <v>113</v>
      </c>
    </row>
    <row r="34" spans="1:6" x14ac:dyDescent="0.2">
      <c r="A34" s="22" t="s">
        <v>53</v>
      </c>
      <c r="B34" t="s">
        <v>118</v>
      </c>
    </row>
    <row r="35" spans="1:6" x14ac:dyDescent="0.2">
      <c r="A35" s="22"/>
    </row>
    <row r="39" spans="1:6" ht="15" thickBot="1" x14ac:dyDescent="0.25"/>
    <row r="40" spans="1:6" ht="43.5" thickTop="1" x14ac:dyDescent="0.2">
      <c r="A40" s="35" t="s">
        <v>137</v>
      </c>
      <c r="B40" s="36" t="s">
        <v>149</v>
      </c>
      <c r="C40" s="36" t="s">
        <v>150</v>
      </c>
      <c r="D40" s="36" t="s">
        <v>151</v>
      </c>
      <c r="E40" s="36" t="s">
        <v>152</v>
      </c>
      <c r="F40" s="37" t="s">
        <v>153</v>
      </c>
    </row>
    <row r="41" spans="1:6" ht="42.75" x14ac:dyDescent="0.2">
      <c r="A41" s="29" t="s">
        <v>138</v>
      </c>
      <c r="B41" s="30" t="s">
        <v>135</v>
      </c>
      <c r="C41" s="30" t="s">
        <v>136</v>
      </c>
      <c r="D41" s="30" t="s">
        <v>148</v>
      </c>
      <c r="E41" s="30" t="s">
        <v>135</v>
      </c>
      <c r="F41" s="31" t="s">
        <v>135</v>
      </c>
    </row>
    <row r="42" spans="1:6" ht="28.5" x14ac:dyDescent="0.2">
      <c r="A42" s="25" t="s">
        <v>139</v>
      </c>
      <c r="B42" s="26" t="s">
        <v>146</v>
      </c>
      <c r="C42" s="26" t="s">
        <v>146</v>
      </c>
      <c r="D42" s="26" t="s">
        <v>146</v>
      </c>
      <c r="E42" s="26" t="s">
        <v>146</v>
      </c>
      <c r="F42" s="27" t="s">
        <v>146</v>
      </c>
    </row>
    <row r="43" spans="1:6" ht="28.5" x14ac:dyDescent="0.2">
      <c r="A43" s="29" t="s">
        <v>141</v>
      </c>
      <c r="B43" s="30" t="s">
        <v>147</v>
      </c>
      <c r="C43" s="30" t="s">
        <v>147</v>
      </c>
      <c r="D43" s="30" t="s">
        <v>147</v>
      </c>
      <c r="E43" s="30" t="s">
        <v>147</v>
      </c>
      <c r="F43" s="31" t="s">
        <v>147</v>
      </c>
    </row>
    <row r="44" spans="1:6" x14ac:dyDescent="0.2">
      <c r="A44" s="25" t="s">
        <v>142</v>
      </c>
      <c r="B44" s="26" t="s">
        <v>140</v>
      </c>
      <c r="C44" s="26" t="s">
        <v>140</v>
      </c>
      <c r="D44" s="26" t="s">
        <v>140</v>
      </c>
      <c r="E44" s="26" t="s">
        <v>140</v>
      </c>
      <c r="F44" s="27" t="s">
        <v>140</v>
      </c>
    </row>
    <row r="45" spans="1:6" ht="85.5" x14ac:dyDescent="0.2">
      <c r="A45" s="29" t="s">
        <v>143</v>
      </c>
      <c r="B45" s="30" t="s">
        <v>198</v>
      </c>
      <c r="C45" s="30" t="s">
        <v>144</v>
      </c>
      <c r="D45" s="30" t="s">
        <v>166</v>
      </c>
      <c r="E45" s="30" t="s">
        <v>171</v>
      </c>
      <c r="F45" s="31" t="s">
        <v>172</v>
      </c>
    </row>
    <row r="46" spans="1:6" ht="28.5" x14ac:dyDescent="0.2">
      <c r="A46" s="28" t="s">
        <v>169</v>
      </c>
      <c r="B46" s="26" t="s">
        <v>167</v>
      </c>
      <c r="C46" s="26" t="s">
        <v>167</v>
      </c>
      <c r="D46" s="26" t="s">
        <v>167</v>
      </c>
      <c r="E46" s="26" t="s">
        <v>167</v>
      </c>
      <c r="F46" s="27" t="s">
        <v>167</v>
      </c>
    </row>
    <row r="47" spans="1:6" ht="29.25" thickBot="1" x14ac:dyDescent="0.25">
      <c r="A47" s="32" t="s">
        <v>170</v>
      </c>
      <c r="B47" s="33" t="s">
        <v>168</v>
      </c>
      <c r="C47" s="33" t="s">
        <v>168</v>
      </c>
      <c r="D47" s="33" t="s">
        <v>168</v>
      </c>
      <c r="E47" s="33" t="s">
        <v>168</v>
      </c>
      <c r="F47" s="34" t="s">
        <v>168</v>
      </c>
    </row>
    <row r="48" spans="1:6" ht="58.5" customHeight="1" thickTop="1" thickBot="1" x14ac:dyDescent="0.25">
      <c r="A48" s="156" t="s">
        <v>145</v>
      </c>
      <c r="B48" s="156"/>
      <c r="C48" s="156"/>
      <c r="D48" s="156"/>
      <c r="E48" s="156"/>
      <c r="F48" s="156"/>
    </row>
    <row r="49" spans="1:6" ht="15" thickTop="1" x14ac:dyDescent="0.2">
      <c r="A49" s="48" t="s">
        <v>154</v>
      </c>
      <c r="B49" s="49" t="s">
        <v>149</v>
      </c>
      <c r="C49" s="49" t="s">
        <v>150</v>
      </c>
      <c r="D49" s="49" t="s">
        <v>151</v>
      </c>
      <c r="E49" s="49" t="s">
        <v>152</v>
      </c>
      <c r="F49" s="50" t="s">
        <v>153</v>
      </c>
    </row>
    <row r="50" spans="1:6" ht="28.5" x14ac:dyDescent="0.2">
      <c r="A50" s="42" t="s">
        <v>138</v>
      </c>
      <c r="B50" s="43" t="s">
        <v>135</v>
      </c>
      <c r="C50" s="43" t="s">
        <v>156</v>
      </c>
      <c r="D50" s="43" t="s">
        <v>155</v>
      </c>
      <c r="E50" s="43" t="s">
        <v>135</v>
      </c>
      <c r="F50" s="44" t="s">
        <v>135</v>
      </c>
    </row>
    <row r="51" spans="1:6" x14ac:dyDescent="0.2">
      <c r="A51" s="38" t="s">
        <v>139</v>
      </c>
      <c r="B51" s="39" t="s">
        <v>157</v>
      </c>
      <c r="C51" s="39" t="s">
        <v>157</v>
      </c>
      <c r="D51" s="39" t="s">
        <v>157</v>
      </c>
      <c r="E51" s="39" t="s">
        <v>157</v>
      </c>
      <c r="F51" s="40" t="s">
        <v>157</v>
      </c>
    </row>
    <row r="52" spans="1:6" x14ac:dyDescent="0.2">
      <c r="A52" s="42" t="s">
        <v>141</v>
      </c>
      <c r="B52" s="43" t="s">
        <v>157</v>
      </c>
      <c r="C52" s="43" t="s">
        <v>157</v>
      </c>
      <c r="D52" s="43" t="s">
        <v>157</v>
      </c>
      <c r="E52" s="43" t="s">
        <v>157</v>
      </c>
      <c r="F52" s="44" t="s">
        <v>157</v>
      </c>
    </row>
    <row r="53" spans="1:6" ht="57" x14ac:dyDescent="0.2">
      <c r="A53" s="38" t="s">
        <v>142</v>
      </c>
      <c r="B53" s="39" t="s">
        <v>174</v>
      </c>
      <c r="C53" s="39" t="s">
        <v>174</v>
      </c>
      <c r="D53" s="39" t="s">
        <v>174</v>
      </c>
      <c r="E53" s="39" t="s">
        <v>174</v>
      </c>
      <c r="F53" s="39" t="s">
        <v>174</v>
      </c>
    </row>
    <row r="54" spans="1:6" ht="85.5" x14ac:dyDescent="0.2">
      <c r="A54" s="42" t="s">
        <v>143</v>
      </c>
      <c r="B54" s="43" t="s">
        <v>199</v>
      </c>
      <c r="C54" s="43" t="s">
        <v>175</v>
      </c>
      <c r="D54" s="43" t="s">
        <v>176</v>
      </c>
      <c r="E54" s="43" t="s">
        <v>164</v>
      </c>
      <c r="F54" s="44" t="s">
        <v>165</v>
      </c>
    </row>
    <row r="55" spans="1:6" x14ac:dyDescent="0.2">
      <c r="A55" s="41" t="s">
        <v>169</v>
      </c>
      <c r="B55" s="39" t="s">
        <v>157</v>
      </c>
      <c r="C55" s="39" t="s">
        <v>157</v>
      </c>
      <c r="D55" s="39" t="s">
        <v>157</v>
      </c>
      <c r="E55" s="39" t="s">
        <v>157</v>
      </c>
      <c r="F55" s="40" t="s">
        <v>157</v>
      </c>
    </row>
    <row r="56" spans="1:6" ht="15" thickBot="1" x14ac:dyDescent="0.25">
      <c r="A56" s="45" t="s">
        <v>170</v>
      </c>
      <c r="B56" s="46" t="s">
        <v>157</v>
      </c>
      <c r="C56" s="46" t="s">
        <v>157</v>
      </c>
      <c r="D56" s="46" t="s">
        <v>157</v>
      </c>
      <c r="E56" s="46" t="s">
        <v>157</v>
      </c>
      <c r="F56" s="47" t="s">
        <v>157</v>
      </c>
    </row>
    <row r="57" spans="1:6" ht="15" thickTop="1" x14ac:dyDescent="0.2">
      <c r="A57" s="51"/>
      <c r="B57" s="51"/>
      <c r="C57" s="51"/>
    </row>
    <row r="58" spans="1:6" ht="32.25" customHeight="1" x14ac:dyDescent="0.2">
      <c r="A58" s="52" t="s">
        <v>177</v>
      </c>
      <c r="B58" s="157" t="s">
        <v>178</v>
      </c>
      <c r="C58" s="157"/>
    </row>
    <row r="59" spans="1:6" ht="17.25" customHeight="1" x14ac:dyDescent="0.2">
      <c r="A59" s="52" t="s">
        <v>179</v>
      </c>
      <c r="B59" s="158" t="s">
        <v>184</v>
      </c>
      <c r="C59" s="158"/>
      <c r="D59" s="158" t="s">
        <v>189</v>
      </c>
      <c r="E59" s="161"/>
    </row>
    <row r="60" spans="1:6" ht="13.5" customHeight="1" x14ac:dyDescent="0.2">
      <c r="A60" s="52" t="s">
        <v>180</v>
      </c>
      <c r="B60" s="159" t="s">
        <v>185</v>
      </c>
      <c r="C60" s="159"/>
      <c r="D60" s="162" t="s">
        <v>190</v>
      </c>
      <c r="E60" s="162"/>
    </row>
    <row r="61" spans="1:6" x14ac:dyDescent="0.2">
      <c r="A61" s="52" t="s">
        <v>181</v>
      </c>
      <c r="B61" s="158" t="s">
        <v>186</v>
      </c>
      <c r="C61" s="158"/>
      <c r="D61" s="162" t="s">
        <v>191</v>
      </c>
      <c r="E61" s="162"/>
    </row>
    <row r="62" spans="1:6" x14ac:dyDescent="0.2">
      <c r="A62" s="52" t="s">
        <v>182</v>
      </c>
      <c r="B62" s="160" t="s">
        <v>187</v>
      </c>
      <c r="C62" s="155"/>
      <c r="D62" s="160" t="s">
        <v>187</v>
      </c>
      <c r="E62" s="155"/>
    </row>
    <row r="63" spans="1:6" x14ac:dyDescent="0.2">
      <c r="A63" s="52" t="s">
        <v>183</v>
      </c>
      <c r="B63" s="160" t="s">
        <v>188</v>
      </c>
      <c r="C63" s="155"/>
      <c r="D63" s="160" t="s">
        <v>188</v>
      </c>
      <c r="E63" s="155"/>
    </row>
    <row r="67" spans="1:2" x14ac:dyDescent="0.2">
      <c r="A67" s="161" t="s">
        <v>192</v>
      </c>
      <c r="B67" s="161"/>
    </row>
    <row r="68" spans="1:2" x14ac:dyDescent="0.2">
      <c r="A68" s="163" t="s">
        <v>195</v>
      </c>
      <c r="B68" s="163"/>
    </row>
    <row r="69" spans="1:2" x14ac:dyDescent="0.2">
      <c r="A69" s="164" t="s">
        <v>193</v>
      </c>
      <c r="B69" s="164"/>
    </row>
    <row r="70" spans="1:2" x14ac:dyDescent="0.2">
      <c r="A70" s="155" t="s">
        <v>194</v>
      </c>
      <c r="B70" s="155"/>
    </row>
  </sheetData>
  <mergeCells count="16">
    <mergeCell ref="A70:B70"/>
    <mergeCell ref="A48:F48"/>
    <mergeCell ref="B58:C58"/>
    <mergeCell ref="B59:C59"/>
    <mergeCell ref="B60:C60"/>
    <mergeCell ref="B63:C63"/>
    <mergeCell ref="D59:E59"/>
    <mergeCell ref="D60:E60"/>
    <mergeCell ref="D61:E61"/>
    <mergeCell ref="D62:E62"/>
    <mergeCell ref="D63:E63"/>
    <mergeCell ref="B61:C61"/>
    <mergeCell ref="B62:C62"/>
    <mergeCell ref="A67:B67"/>
    <mergeCell ref="A68:B68"/>
    <mergeCell ref="A69:B69"/>
  </mergeCells>
  <phoneticPr fontId="3" type="noConversion"/>
  <pageMargins left="0.7" right="0.7" top="0.75" bottom="0.75" header="0.3" footer="0.3"/>
  <pageSetup paperSize="8" fitToHeight="0" orientation="landscape" r:id="rId1"/>
  <rowBreaks count="1" manualBreakCount="1">
    <brk id="38" max="16383" man="1"/>
  </rowBreaks>
  <legacyDrawing r:id="rId2"/>
  <tableParts count="4">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6D2288-DAFB-4E5D-B7AD-F5DB9AB281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Leds</vt:lpstr>
      <vt:lpstr>Head</vt:lpstr>
      <vt:lpstr>Servo</vt:lpstr>
      <vt:lpstr>MQTT communication</vt:lpstr>
      <vt:lpstr>Font1</vt:lpstr>
      <vt:lpstr>Font2</vt:lpstr>
      <vt:lpstr>commands</vt:lpstr>
      <vt:lpstr>ActivateSleep</vt:lpstr>
      <vt:lpstr>autoHEAD</vt:lpstr>
      <vt:lpstr>autoRING</vt:lpstr>
      <vt:lpstr>Servo!Blinktime</vt:lpstr>
      <vt:lpstr>BlinkTiming</vt:lpstr>
      <vt:lpstr>cb2Fill</vt:lpstr>
      <vt:lpstr>cb2Rotate</vt:lpstr>
      <vt:lpstr>CharDOWN</vt:lpstr>
      <vt:lpstr>CharLR</vt:lpstr>
      <vt:lpstr>CharOK</vt:lpstr>
      <vt:lpstr>CharRL</vt:lpstr>
      <vt:lpstr>CharSTATIC</vt:lpstr>
      <vt:lpstr>CharUP</vt:lpstr>
      <vt:lpstr>'MQTT communication'!comport</vt:lpstr>
      <vt:lpstr>HeadPattern</vt:lpstr>
      <vt:lpstr>Intensity</vt:lpstr>
      <vt:lpstr>InvertedRange</vt:lpstr>
      <vt:lpstr>LedPattern</vt:lpstr>
      <vt:lpstr>Leye</vt:lpstr>
      <vt:lpstr>LeyeCol</vt:lpstr>
      <vt:lpstr>LeyePat</vt:lpstr>
      <vt:lpstr>LHresRange</vt:lpstr>
      <vt:lpstr>MovementRange</vt:lpstr>
      <vt:lpstr>MQTThost</vt:lpstr>
      <vt:lpstr>MQTTpass</vt:lpstr>
      <vt:lpstr>MQTTport</vt:lpstr>
      <vt:lpstr>MQTTtopic</vt:lpstr>
      <vt:lpstr>MQTTuser</vt:lpstr>
      <vt:lpstr>Nose</vt:lpstr>
      <vt:lpstr>NoseCol</vt:lpstr>
      <vt:lpstr>NosePat</vt:lpstr>
      <vt:lpstr>PinballInvert</vt:lpstr>
      <vt:lpstr>PinballLHres</vt:lpstr>
      <vt:lpstr>PinballMovement</vt:lpstr>
      <vt:lpstr>PinballShape</vt:lpstr>
      <vt:lpstr>PutChar</vt:lpstr>
      <vt:lpstr>Reye</vt:lpstr>
      <vt:lpstr>ReyeCol</vt:lpstr>
      <vt:lpstr>ReyePat</vt:lpstr>
      <vt:lpstr>RingPattern</vt:lpstr>
      <vt:lpstr>Ringtime</vt:lpstr>
      <vt:lpstr>RPM</vt:lpstr>
      <vt:lpstr>SelectBlinkStrobe</vt:lpstr>
      <vt:lpstr>SelectColors</vt:lpstr>
      <vt:lpstr>SelectPattern</vt:lpstr>
      <vt:lpstr>ServoInverted</vt:lpstr>
      <vt:lpstr>ServoLowres</vt:lpstr>
      <vt:lpstr>ServoMovement</vt:lpstr>
      <vt:lpstr>ServoShape</vt:lpstr>
      <vt:lpstr>ShapeRange</vt:lpstr>
      <vt:lpstr>TextDOWN</vt:lpstr>
      <vt:lpstr>TEXTLR</vt:lpstr>
      <vt:lpstr>TextRL</vt:lpstr>
      <vt:lpstr>TextSTATIC</vt:lpstr>
      <vt:lpstr>TextUP</vt:lpstr>
      <vt:lpstr>What</vt:lpstr>
    </vt:vector>
  </TitlesOfParts>
  <Company>SKYGUIDE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Rademaker Ruud</dc:creator>
  <cp:lastModifiedBy>ruud rademaker</cp:lastModifiedBy>
  <cp:lastPrinted>2016-11-02T16:36:15Z</cp:lastPrinted>
  <dcterms:created xsi:type="dcterms:W3CDTF">2015-09-04T14:22:28Z</dcterms:created>
  <dcterms:modified xsi:type="dcterms:W3CDTF">2022-04-22T11:26:22Z</dcterms:modified>
</cp:coreProperties>
</file>