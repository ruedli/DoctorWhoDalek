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drawings/drawing3.xml" ContentType="application/vnd.openxmlformats-officedocument.drawing+xml"/>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comments1.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225" codeName="{AE6600E7-7A62-396C-DE95-9942FA9DD81E}"/>
  <workbookPr codeName="ThisWorkbook" defaultThemeVersion="124226"/>
  <mc:AlternateContent xmlns:mc="http://schemas.openxmlformats.org/markup-compatibility/2006">
    <mc:Choice Requires="x15">
      <x15ac:absPath xmlns:x15ac="http://schemas.microsoft.com/office/spreadsheetml/2010/11/ac" url="D:\workspace\DoctorWhoDalek\Dalek\"/>
    </mc:Choice>
  </mc:AlternateContent>
  <xr:revisionPtr revIDLastSave="0" documentId="13_ncr:1_{61F1FC66-AB5F-4180-9D55-747AC2CB19D8}" xr6:coauthVersionLast="47" xr6:coauthVersionMax="47" xr10:uidLastSave="{00000000-0000-0000-0000-000000000000}"/>
  <bookViews>
    <workbookView xWindow="27360" yWindow="2340" windowWidth="25620" windowHeight="15060" xr2:uid="{00000000-000D-0000-FFFF-FFFF00000000}"/>
  </bookViews>
  <sheets>
    <sheet name="Leds" sheetId="1" r:id="rId1"/>
    <sheet name="Head" sheetId="14" r:id="rId2"/>
    <sheet name="Servo" sheetId="13" r:id="rId3"/>
    <sheet name="MQTT communication" sheetId="11" r:id="rId4"/>
    <sheet name="Font1" sheetId="6" r:id="rId5"/>
    <sheet name="Font2" sheetId="9" r:id="rId6"/>
    <sheet name="commands" sheetId="8" r:id="rId7"/>
  </sheets>
  <functionGroups builtInGroupCount="19"/>
  <definedNames>
    <definedName name="ActivateSleep">Head!$N$33:$N$36</definedName>
    <definedName name="autoHEAD">Head!$N$29</definedName>
    <definedName name="autoRING">Head!$N$30</definedName>
    <definedName name="Blinktime" localSheetId="2">Servo!$C$4</definedName>
    <definedName name="Blinktime">#REF!</definedName>
    <definedName name="BlinkTiming">Head!$C$11</definedName>
    <definedName name="cb2Fill">Head!$N$28</definedName>
    <definedName name="cb2Rotate">Head!$N$27</definedName>
    <definedName name="CharDOWN">Font1!$C$47</definedName>
    <definedName name="CharLR">Font1!$C$3</definedName>
    <definedName name="CharOK">Font1!$B$2</definedName>
    <definedName name="CharRL">Font1!$B$3</definedName>
    <definedName name="CharSTATIC">Font1!$B$3</definedName>
    <definedName name="CharUP">Font1!$B$47</definedName>
    <definedName name="comport" localSheetId="3">'MQTT communication'!$B$4</definedName>
    <definedName name="HeadPattern">Head!$G$8</definedName>
    <definedName name="Intensity">Head!$C$17</definedName>
    <definedName name="InvertedRange">Servo!$B$24:$C$25</definedName>
    <definedName name="LedPattern">Leds!$B$10</definedName>
    <definedName name="Leye">Head!$N$23</definedName>
    <definedName name="LeyeCol">Head!$O$23</definedName>
    <definedName name="LeyePat">Head!$Q$23</definedName>
    <definedName name="LHresRange">Servo!$B$27:$C$30</definedName>
    <definedName name="MovementRange">Servo!$B$10:$C$16</definedName>
    <definedName name="MQTThost">'MQTT communication'!$B$1</definedName>
    <definedName name="MQTTpass">'MQTT communication'!$B$3</definedName>
    <definedName name="MQTTport">'MQTT communication'!$B$4</definedName>
    <definedName name="MQTTtopic">'MQTT communication'!$B$5</definedName>
    <definedName name="MQTTuser">'MQTT communication'!$B$2</definedName>
    <definedName name="Nose">Head!$N$24</definedName>
    <definedName name="NoseCol">Head!$O$24</definedName>
    <definedName name="NosePat">Head!$Q$24</definedName>
    <definedName name="PinballInvert">Servo!$E$23</definedName>
    <definedName name="PinballLHres">Servo!$E$26</definedName>
    <definedName name="PinballMovement">Servo!$E$9</definedName>
    <definedName name="PinballShape">Servo!$E$17</definedName>
    <definedName name="PutChar">Font1!$D$1</definedName>
    <definedName name="Reye">Head!$N$25</definedName>
    <definedName name="ReyeCol">Head!$O$25</definedName>
    <definedName name="ReyePat">Head!$Q$25</definedName>
    <definedName name="RingPattern">Head!$I$8</definedName>
    <definedName name="Ringtime">Head!$C$9</definedName>
    <definedName name="RPM">Servo!$C$3</definedName>
    <definedName name="SelectBlinkStrobe">Head!$M$17:$O$22</definedName>
    <definedName name="SelectColors">Head!$M$2:$N$8</definedName>
    <definedName name="SelectPattern">Head!$M$10:$N$15</definedName>
    <definedName name="ServoInverted">Servo!$B$24:$B$25</definedName>
    <definedName name="ServoLowres">Servo!$B$27:$B$30</definedName>
    <definedName name="ServoMovement">Servo!$B$10:$B$16</definedName>
    <definedName name="ServoShape">Servo!$B$18:$B$22</definedName>
    <definedName name="ShapeRange">Servo!$B$18:$C$22</definedName>
    <definedName name="TextDOWN">Leds!$B$44</definedName>
    <definedName name="TEXTLR">Leds!$B$42</definedName>
    <definedName name="TextRL">Leds!$B$41</definedName>
    <definedName name="TextSTATIC">Leds!$B$40</definedName>
    <definedName name="TextUP">Leds!$B$43</definedName>
    <definedName name="What">Head!$N$32</definedName>
  </definedNames>
  <calcPr calcId="191029"/>
  <extLs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alcChain.xml><?xml version="1.0" encoding="utf-8"?>
<calcChain xmlns="http://schemas.openxmlformats.org/spreadsheetml/2006/main">
  <c r="P25" i="14" l="1"/>
  <c r="P24" i="14"/>
  <c r="P23" i="14"/>
  <c r="S25" i="14"/>
  <c r="R25" i="14"/>
  <c r="S24" i="14"/>
  <c r="R24" i="14"/>
  <c r="S23" i="14"/>
  <c r="R23" i="14"/>
  <c r="D1" i="9"/>
  <c r="E1" i="9"/>
  <c r="E2" i="9" s="1"/>
  <c r="E3" i="9" s="1"/>
  <c r="E4" i="9" s="1"/>
  <c r="E5" i="9" s="1"/>
  <c r="E7" i="9"/>
  <c r="E8" i="9" s="1"/>
  <c r="E9" i="9" s="1"/>
  <c r="E10" i="9" s="1"/>
  <c r="E11" i="9" s="1"/>
  <c r="E13" i="9"/>
  <c r="E14" i="9" s="1"/>
  <c r="E15" i="9"/>
  <c r="E16" i="9" s="1"/>
  <c r="E17" i="9" s="1"/>
  <c r="E19" i="9"/>
  <c r="E20" i="9"/>
  <c r="E21" i="9"/>
  <c r="E22" i="9" s="1"/>
  <c r="E23" i="9" s="1"/>
  <c r="E25" i="9"/>
  <c r="E26" i="9" s="1"/>
  <c r="E27" i="9"/>
  <c r="E28" i="9" s="1"/>
  <c r="E29" i="9" s="1"/>
  <c r="E31" i="9"/>
  <c r="E32" i="9"/>
  <c r="E33" i="9" s="1"/>
  <c r="E34" i="9" s="1"/>
  <c r="E35" i="9" s="1"/>
  <c r="E37" i="9"/>
  <c r="E38" i="9" s="1"/>
  <c r="E39" i="9" s="1"/>
  <c r="E40" i="9" s="1"/>
  <c r="E41" i="9" s="1"/>
  <c r="E43" i="9"/>
  <c r="E44" i="9"/>
  <c r="E45" i="9"/>
  <c r="E46" i="9" s="1"/>
  <c r="E47" i="9" s="1"/>
  <c r="E49" i="9"/>
  <c r="E50" i="9"/>
  <c r="E51" i="9" s="1"/>
  <c r="E52" i="9" s="1"/>
  <c r="E53" i="9" s="1"/>
  <c r="E55" i="9"/>
  <c r="E56" i="9"/>
  <c r="E57" i="9" s="1"/>
  <c r="E58" i="9" s="1"/>
  <c r="E59" i="9" s="1"/>
  <c r="E61" i="9"/>
  <c r="E62" i="9" s="1"/>
  <c r="E63" i="9" s="1"/>
  <c r="E64" i="9" s="1"/>
  <c r="E65" i="9" s="1"/>
  <c r="E67" i="9"/>
  <c r="E68" i="9" s="1"/>
  <c r="E69" i="9" s="1"/>
  <c r="E70" i="9"/>
  <c r="E71" i="9" s="1"/>
  <c r="E73" i="9"/>
  <c r="E74" i="9" s="1"/>
  <c r="E75" i="9" s="1"/>
  <c r="E76" i="9" s="1"/>
  <c r="E77" i="9" s="1"/>
  <c r="E79" i="9"/>
  <c r="E80" i="9"/>
  <c r="E81" i="9"/>
  <c r="E82" i="9" s="1"/>
  <c r="E83" i="9" s="1"/>
  <c r="E85" i="9"/>
  <c r="E86" i="9" s="1"/>
  <c r="E87" i="9" s="1"/>
  <c r="E88" i="9" s="1"/>
  <c r="E89" i="9" s="1"/>
  <c r="E91" i="9"/>
  <c r="E92" i="9" s="1"/>
  <c r="E93" i="9" s="1"/>
  <c r="E94" i="9" s="1"/>
  <c r="E95" i="9" s="1"/>
  <c r="E97" i="9"/>
  <c r="E98" i="9" s="1"/>
  <c r="E99" i="9" s="1"/>
  <c r="E100" i="9" s="1"/>
  <c r="E101" i="9"/>
  <c r="E103" i="9"/>
  <c r="E104" i="9"/>
  <c r="E105" i="9" s="1"/>
  <c r="E106" i="9" s="1"/>
  <c r="E107" i="9" s="1"/>
  <c r="E109" i="9"/>
  <c r="E110" i="9" s="1"/>
  <c r="E111" i="9" s="1"/>
  <c r="E112" i="9" s="1"/>
  <c r="E113" i="9" s="1"/>
  <c r="E115" i="9"/>
  <c r="E116" i="9"/>
  <c r="E117" i="9" s="1"/>
  <c r="E118" i="9"/>
  <c r="E119" i="9"/>
  <c r="E121" i="9"/>
  <c r="E122" i="9" s="1"/>
  <c r="E123" i="9" s="1"/>
  <c r="E124" i="9" s="1"/>
  <c r="E125" i="9" s="1"/>
  <c r="E127" i="9"/>
  <c r="E128" i="9"/>
  <c r="E129" i="9" s="1"/>
  <c r="E130" i="9"/>
  <c r="E131" i="9" s="1"/>
  <c r="E133" i="9"/>
  <c r="E134" i="9"/>
  <c r="E135" i="9"/>
  <c r="E136" i="9"/>
  <c r="E137" i="9"/>
  <c r="E139" i="9"/>
  <c r="E140" i="9" s="1"/>
  <c r="E141" i="9" s="1"/>
  <c r="E142" i="9" s="1"/>
  <c r="E143" i="9" s="1"/>
  <c r="E145" i="9"/>
  <c r="E146" i="9" s="1"/>
  <c r="E147" i="9"/>
  <c r="E148" i="9" s="1"/>
  <c r="E149" i="9" s="1"/>
  <c r="E151" i="9"/>
  <c r="E152" i="9"/>
  <c r="E153" i="9" s="1"/>
  <c r="E154" i="9" s="1"/>
  <c r="E155" i="9" s="1"/>
  <c r="E157" i="9"/>
  <c r="E158" i="9" s="1"/>
  <c r="E159" i="9"/>
  <c r="E160" i="9" s="1"/>
  <c r="E161" i="9"/>
  <c r="E163" i="9"/>
  <c r="E164" i="9"/>
  <c r="E165" i="9" s="1"/>
  <c r="E166" i="9" s="1"/>
  <c r="E167" i="9" s="1"/>
  <c r="E169" i="9"/>
  <c r="E170" i="9" s="1"/>
  <c r="E171" i="9" s="1"/>
  <c r="E172" i="9" s="1"/>
  <c r="E173" i="9"/>
  <c r="E175" i="9"/>
  <c r="E176" i="9"/>
  <c r="E177" i="9"/>
  <c r="E178" i="9"/>
  <c r="E179" i="9"/>
  <c r="E181" i="9"/>
  <c r="E182" i="9"/>
  <c r="E183" i="9" s="1"/>
  <c r="E184" i="9" s="1"/>
  <c r="E185" i="9" s="1"/>
  <c r="E187" i="9"/>
  <c r="E188" i="9"/>
  <c r="E189" i="9" s="1"/>
  <c r="E190" i="9" s="1"/>
  <c r="E191" i="9" s="1"/>
  <c r="E193" i="9"/>
  <c r="E194" i="9"/>
  <c r="E195" i="9" s="1"/>
  <c r="E196" i="9" s="1"/>
  <c r="E197" i="9" s="1"/>
  <c r="E199" i="9"/>
  <c r="E200" i="9"/>
  <c r="E201" i="9" s="1"/>
  <c r="E202" i="9"/>
  <c r="E203" i="9" s="1"/>
  <c r="E205" i="9"/>
  <c r="E206" i="9" s="1"/>
  <c r="E207" i="9" s="1"/>
  <c r="E208" i="9" s="1"/>
  <c r="E209" i="9" s="1"/>
  <c r="E211" i="9"/>
  <c r="E212" i="9" s="1"/>
  <c r="E213" i="9" s="1"/>
  <c r="E214" i="9" s="1"/>
  <c r="E215" i="9" s="1"/>
  <c r="E217" i="9"/>
  <c r="E218" i="9" s="1"/>
  <c r="E219" i="9" s="1"/>
  <c r="E220" i="9" s="1"/>
  <c r="E221" i="9" s="1"/>
  <c r="E223" i="9"/>
  <c r="E224" i="9"/>
  <c r="E225" i="9"/>
  <c r="E226" i="9" s="1"/>
  <c r="E227" i="9" s="1"/>
  <c r="E229" i="9"/>
  <c r="E230" i="9" s="1"/>
  <c r="E231" i="9"/>
  <c r="E232" i="9" s="1"/>
  <c r="E233" i="9" s="1"/>
  <c r="E235" i="9"/>
  <c r="E236" i="9"/>
  <c r="E237" i="9"/>
  <c r="E238" i="9" s="1"/>
  <c r="E239" i="9" s="1"/>
  <c r="E241" i="9"/>
  <c r="E242" i="9" s="1"/>
  <c r="E243" i="9" s="1"/>
  <c r="E244" i="9" s="1"/>
  <c r="E245" i="9"/>
  <c r="E247" i="9"/>
  <c r="E248" i="9"/>
  <c r="E249" i="9" s="1"/>
  <c r="E250" i="9" s="1"/>
  <c r="E251" i="9" s="1"/>
  <c r="E253" i="9"/>
  <c r="E254" i="9"/>
  <c r="E255" i="9" s="1"/>
  <c r="E256" i="9" s="1"/>
  <c r="E257" i="9" s="1"/>
  <c r="E259" i="9"/>
  <c r="E260" i="9"/>
  <c r="E261" i="9" s="1"/>
  <c r="E262" i="9"/>
  <c r="E263" i="9"/>
  <c r="E265" i="9"/>
  <c r="E266" i="9"/>
  <c r="E267" i="9"/>
  <c r="E268" i="9" s="1"/>
  <c r="E269" i="9" s="1"/>
  <c r="E271" i="9"/>
  <c r="E272" i="9"/>
  <c r="E273" i="9" s="1"/>
  <c r="E274" i="9" s="1"/>
  <c r="E275" i="9" s="1"/>
  <c r="E277" i="9"/>
  <c r="E278" i="9"/>
  <c r="E279" i="9" s="1"/>
  <c r="E280" i="9" s="1"/>
  <c r="E281" i="9" s="1"/>
  <c r="E283" i="9"/>
  <c r="E284" i="9" s="1"/>
  <c r="E285" i="9" s="1"/>
  <c r="E286" i="9" s="1"/>
  <c r="E287" i="9" s="1"/>
  <c r="E289" i="9"/>
  <c r="E290" i="9" s="1"/>
  <c r="E291" i="9"/>
  <c r="E292" i="9" s="1"/>
  <c r="E293" i="9" s="1"/>
  <c r="E295" i="9"/>
  <c r="E296" i="9" s="1"/>
  <c r="E297" i="9" s="1"/>
  <c r="E298" i="9" s="1"/>
  <c r="E299" i="9" s="1"/>
  <c r="E301" i="9"/>
  <c r="E302" i="9" s="1"/>
  <c r="E303" i="9" s="1"/>
  <c r="E304" i="9" s="1"/>
  <c r="E305" i="9" s="1"/>
  <c r="E307" i="9"/>
  <c r="E308" i="9"/>
  <c r="E309" i="9"/>
  <c r="E310" i="9"/>
  <c r="E311" i="9" s="1"/>
  <c r="E313" i="9"/>
  <c r="E314" i="9" s="1"/>
  <c r="E315" i="9" s="1"/>
  <c r="E316" i="9" s="1"/>
  <c r="E317" i="9" s="1"/>
  <c r="E319" i="9"/>
  <c r="E320" i="9"/>
  <c r="E321" i="9"/>
  <c r="E322" i="9" s="1"/>
  <c r="E323" i="9" s="1"/>
  <c r="E325" i="9"/>
  <c r="E326" i="9"/>
  <c r="E327" i="9" s="1"/>
  <c r="E328" i="9" s="1"/>
  <c r="E329" i="9" s="1"/>
  <c r="E331" i="9"/>
  <c r="E332" i="9"/>
  <c r="E333" i="9" s="1"/>
  <c r="E334" i="9" s="1"/>
  <c r="E335" i="9" s="1"/>
  <c r="E337" i="9"/>
  <c r="E338" i="9" s="1"/>
  <c r="E339" i="9" s="1"/>
  <c r="E340" i="9" s="1"/>
  <c r="E341" i="9" s="1"/>
  <c r="E343" i="9"/>
  <c r="E344" i="9"/>
  <c r="E345" i="9" s="1"/>
  <c r="E346" i="9"/>
  <c r="E347" i="9" s="1"/>
  <c r="E349" i="9"/>
  <c r="E350" i="9"/>
  <c r="E351" i="9"/>
  <c r="E352" i="9" s="1"/>
  <c r="E353" i="9" s="1"/>
  <c r="E355" i="9"/>
  <c r="E356" i="9" s="1"/>
  <c r="E357" i="9" s="1"/>
  <c r="E358" i="9" s="1"/>
  <c r="E359" i="9" s="1"/>
  <c r="E361" i="9"/>
  <c r="E362" i="9" s="1"/>
  <c r="E363" i="9"/>
  <c r="E364" i="9"/>
  <c r="E365" i="9" s="1"/>
  <c r="E367" i="9"/>
  <c r="E368" i="9"/>
  <c r="E369" i="9"/>
  <c r="E370" i="9" s="1"/>
  <c r="E371" i="9" s="1"/>
  <c r="E373" i="9"/>
  <c r="E374" i="9" s="1"/>
  <c r="E375" i="9"/>
  <c r="E376" i="9" s="1"/>
  <c r="E377" i="9" s="1"/>
  <c r="E379" i="9"/>
  <c r="E380" i="9" s="1"/>
  <c r="E381" i="9" s="1"/>
  <c r="E382" i="9" s="1"/>
  <c r="E383" i="9" s="1"/>
  <c r="E385" i="9"/>
  <c r="E386" i="9"/>
  <c r="E387" i="9"/>
  <c r="E388" i="9" s="1"/>
  <c r="E389" i="9"/>
  <c r="E391" i="9"/>
  <c r="E392" i="9"/>
  <c r="E393" i="9" s="1"/>
  <c r="E394" i="9" s="1"/>
  <c r="E395" i="9" s="1"/>
  <c r="E397" i="9"/>
  <c r="E398" i="9"/>
  <c r="E399" i="9" s="1"/>
  <c r="E400" i="9" s="1"/>
  <c r="E401" i="9" s="1"/>
  <c r="E403" i="9"/>
  <c r="E404" i="9"/>
  <c r="E405" i="9" s="1"/>
  <c r="E406" i="9"/>
  <c r="E407" i="9"/>
  <c r="E409" i="9"/>
  <c r="E410" i="9"/>
  <c r="E411" i="9"/>
  <c r="E412" i="9" s="1"/>
  <c r="E413" i="9" s="1"/>
  <c r="E415" i="9"/>
  <c r="E416" i="9"/>
  <c r="E417" i="9" s="1"/>
  <c r="E418" i="9" s="1"/>
  <c r="E419" i="9" s="1"/>
  <c r="E421" i="9"/>
  <c r="E422" i="9"/>
  <c r="E423" i="9" s="1"/>
  <c r="E424" i="9" s="1"/>
  <c r="E425" i="9" s="1"/>
  <c r="E427" i="9"/>
  <c r="E428" i="9" s="1"/>
  <c r="E429" i="9" s="1"/>
  <c r="E430" i="9" s="1"/>
  <c r="E431" i="9" s="1"/>
  <c r="E433" i="9"/>
  <c r="E434" i="9" s="1"/>
  <c r="E435" i="9"/>
  <c r="E436" i="9" s="1"/>
  <c r="E437" i="9" s="1"/>
  <c r="E439" i="9"/>
  <c r="E440" i="9" s="1"/>
  <c r="E441" i="9" s="1"/>
  <c r="E442" i="9" s="1"/>
  <c r="E443" i="9" s="1"/>
  <c r="E445" i="9"/>
  <c r="E446" i="9" s="1"/>
  <c r="E447" i="9" s="1"/>
  <c r="E448" i="9" s="1"/>
  <c r="E449" i="9" s="1"/>
  <c r="E451" i="9"/>
  <c r="E452" i="9"/>
  <c r="E453" i="9"/>
  <c r="E454" i="9"/>
  <c r="E455" i="9" s="1"/>
  <c r="E457" i="9"/>
  <c r="E458" i="9"/>
  <c r="E459" i="9"/>
  <c r="E460" i="9" s="1"/>
  <c r="E461" i="9"/>
  <c r="E463" i="9"/>
  <c r="E464" i="9"/>
  <c r="E465" i="9"/>
  <c r="E466" i="9"/>
  <c r="E467" i="9"/>
  <c r="E469" i="9"/>
  <c r="E470" i="9"/>
  <c r="E471" i="9" s="1"/>
  <c r="E472" i="9" s="1"/>
  <c r="E473" i="9" s="1"/>
  <c r="E475" i="9"/>
  <c r="E476" i="9"/>
  <c r="E477" i="9" s="1"/>
  <c r="E478" i="9" s="1"/>
  <c r="E479" i="9" s="1"/>
  <c r="E481" i="9"/>
  <c r="E482" i="9"/>
  <c r="E483" i="9" s="1"/>
  <c r="E484" i="9" s="1"/>
  <c r="E485" i="9" s="1"/>
  <c r="E487" i="9"/>
  <c r="E488" i="9"/>
  <c r="E489" i="9" s="1"/>
  <c r="E490" i="9"/>
  <c r="E491" i="9" s="1"/>
  <c r="E493" i="9"/>
  <c r="E494" i="9" s="1"/>
  <c r="E495" i="9" s="1"/>
  <c r="E496" i="9" s="1"/>
  <c r="E497" i="9" s="1"/>
  <c r="E499" i="9"/>
  <c r="E500" i="9" s="1"/>
  <c r="E501" i="9" s="1"/>
  <c r="E502" i="9" s="1"/>
  <c r="E503" i="9" s="1"/>
  <c r="E505" i="9"/>
  <c r="E506" i="9" s="1"/>
  <c r="E507" i="9" s="1"/>
  <c r="E508" i="9" s="1"/>
  <c r="E509" i="9" s="1"/>
  <c r="E511" i="9"/>
  <c r="E512" i="9"/>
  <c r="E513" i="9"/>
  <c r="E514" i="9" s="1"/>
  <c r="E515" i="9" s="1"/>
  <c r="E517" i="9"/>
  <c r="E518" i="9" s="1"/>
  <c r="E519" i="9"/>
  <c r="E520" i="9" s="1"/>
  <c r="E521" i="9" s="1"/>
  <c r="E523" i="9"/>
  <c r="E524" i="9"/>
  <c r="E525" i="9"/>
  <c r="E526" i="9" s="1"/>
  <c r="E527" i="9" s="1"/>
  <c r="E529" i="9"/>
  <c r="E530" i="9"/>
  <c r="E531" i="9"/>
  <c r="E532" i="9" s="1"/>
  <c r="E533" i="9"/>
  <c r="E1" i="6"/>
  <c r="E2" i="6" s="1"/>
  <c r="D2" i="6"/>
  <c r="D3" i="6" s="1"/>
  <c r="D4" i="6" s="1"/>
  <c r="E7" i="6"/>
  <c r="E8" i="6"/>
  <c r="E9" i="6" s="1"/>
  <c r="E10" i="6" s="1"/>
  <c r="E11" i="6" s="1"/>
  <c r="E13" i="6"/>
  <c r="E14" i="6"/>
  <c r="E15" i="6" s="1"/>
  <c r="E16" i="6" s="1"/>
  <c r="E17" i="6" s="1"/>
  <c r="E19" i="6"/>
  <c r="E20" i="6" s="1"/>
  <c r="E21" i="6" s="1"/>
  <c r="E22" i="6" s="1"/>
  <c r="E23" i="6" s="1"/>
  <c r="E25" i="6"/>
  <c r="E26" i="6"/>
  <c r="E27" i="6" s="1"/>
  <c r="E28" i="6" s="1"/>
  <c r="E29" i="6" s="1"/>
  <c r="E31" i="6"/>
  <c r="E32" i="6" s="1"/>
  <c r="E33" i="6" s="1"/>
  <c r="E34" i="6" s="1"/>
  <c r="E35" i="6" s="1"/>
  <c r="E37" i="6"/>
  <c r="E38" i="6" s="1"/>
  <c r="E39" i="6" s="1"/>
  <c r="E40" i="6" s="1"/>
  <c r="E41" i="6" s="1"/>
  <c r="E43" i="6"/>
  <c r="E44" i="6"/>
  <c r="E45" i="6" s="1"/>
  <c r="E46" i="6" s="1"/>
  <c r="E47" i="6" s="1"/>
  <c r="E49" i="6"/>
  <c r="E50" i="6"/>
  <c r="E51" i="6" s="1"/>
  <c r="E52" i="6" s="1"/>
  <c r="E53" i="6" s="1"/>
  <c r="E55" i="6"/>
  <c r="E56" i="6" s="1"/>
  <c r="E57" i="6" s="1"/>
  <c r="E58" i="6" s="1"/>
  <c r="E59" i="6" s="1"/>
  <c r="E61" i="6"/>
  <c r="E62" i="6"/>
  <c r="E63" i="6"/>
  <c r="E64" i="6" s="1"/>
  <c r="E65" i="6" s="1"/>
  <c r="E67" i="6"/>
  <c r="E68" i="6"/>
  <c r="E69" i="6" s="1"/>
  <c r="E70" i="6" s="1"/>
  <c r="E71" i="6" s="1"/>
  <c r="E73" i="6"/>
  <c r="E74" i="6"/>
  <c r="E75" i="6" s="1"/>
  <c r="E76" i="6" s="1"/>
  <c r="E77" i="6" s="1"/>
  <c r="E79" i="6"/>
  <c r="E80" i="6"/>
  <c r="E81" i="6" s="1"/>
  <c r="E82" i="6" s="1"/>
  <c r="E83" i="6" s="1"/>
  <c r="E85" i="6"/>
  <c r="E86" i="6"/>
  <c r="E87" i="6"/>
  <c r="E88" i="6" s="1"/>
  <c r="E89" i="6" s="1"/>
  <c r="E91" i="6"/>
  <c r="E92" i="6"/>
  <c r="E93" i="6"/>
  <c r="E94" i="6"/>
  <c r="E95" i="6"/>
  <c r="E97" i="6"/>
  <c r="E98" i="6" s="1"/>
  <c r="E99" i="6" s="1"/>
  <c r="E100" i="6" s="1"/>
  <c r="E101" i="6" s="1"/>
  <c r="E103" i="6"/>
  <c r="E104" i="6" s="1"/>
  <c r="E105" i="6"/>
  <c r="E106" i="6" s="1"/>
  <c r="E107" i="6" s="1"/>
  <c r="E109" i="6"/>
  <c r="E110" i="6"/>
  <c r="E111" i="6"/>
  <c r="E112" i="6"/>
  <c r="E113" i="6" s="1"/>
  <c r="E115" i="6"/>
  <c r="E116" i="6" s="1"/>
  <c r="E117" i="6" s="1"/>
  <c r="E118" i="6" s="1"/>
  <c r="E119" i="6" s="1"/>
  <c r="E121" i="6"/>
  <c r="E122" i="6"/>
  <c r="E123" i="6" s="1"/>
  <c r="E124" i="6" s="1"/>
  <c r="E125" i="6" s="1"/>
  <c r="E127" i="6"/>
  <c r="E128" i="6"/>
  <c r="E129" i="6"/>
  <c r="E130" i="6" s="1"/>
  <c r="E131" i="6" s="1"/>
  <c r="E133" i="6"/>
  <c r="E134" i="6"/>
  <c r="E135" i="6" s="1"/>
  <c r="E136" i="6" s="1"/>
  <c r="E137" i="6" s="1"/>
  <c r="E139" i="6"/>
  <c r="E140" i="6"/>
  <c r="E141" i="6"/>
  <c r="E142" i="6"/>
  <c r="E143" i="6"/>
  <c r="E145" i="6"/>
  <c r="E146" i="6" s="1"/>
  <c r="E147" i="6" s="1"/>
  <c r="E148" i="6" s="1"/>
  <c r="E149" i="6" s="1"/>
  <c r="E151" i="6"/>
  <c r="E152" i="6" s="1"/>
  <c r="E153" i="6" s="1"/>
  <c r="E154" i="6" s="1"/>
  <c r="E155" i="6" s="1"/>
  <c r="E157" i="6"/>
  <c r="E158" i="6"/>
  <c r="E159" i="6"/>
  <c r="E160" i="6" s="1"/>
  <c r="E161" i="6" s="1"/>
  <c r="E163" i="6"/>
  <c r="E164" i="6"/>
  <c r="E165" i="6" s="1"/>
  <c r="E166" i="6" s="1"/>
  <c r="E167" i="6" s="1"/>
  <c r="E169" i="6"/>
  <c r="E170" i="6"/>
  <c r="E171" i="6"/>
  <c r="E172" i="6" s="1"/>
  <c r="E173" i="6" s="1"/>
  <c r="E175" i="6"/>
  <c r="E176" i="6" s="1"/>
  <c r="E177" i="6"/>
  <c r="E178" i="6"/>
  <c r="E179" i="6"/>
  <c r="E181" i="6"/>
  <c r="E182" i="6"/>
  <c r="E183" i="6" s="1"/>
  <c r="E184" i="6" s="1"/>
  <c r="E185" i="6" s="1"/>
  <c r="E187" i="6"/>
  <c r="E188" i="6" s="1"/>
  <c r="E189" i="6" s="1"/>
  <c r="E190" i="6" s="1"/>
  <c r="E191" i="6" s="1"/>
  <c r="E193" i="6"/>
  <c r="E194" i="6"/>
  <c r="E195" i="6"/>
  <c r="E196" i="6"/>
  <c r="E197" i="6" s="1"/>
  <c r="E199" i="6"/>
  <c r="E200" i="6" s="1"/>
  <c r="E201" i="6" s="1"/>
  <c r="E202" i="6" s="1"/>
  <c r="E203" i="6" s="1"/>
  <c r="E205" i="6"/>
  <c r="E206" i="6"/>
  <c r="E207" i="6"/>
  <c r="E208" i="6"/>
  <c r="E209" i="6"/>
  <c r="E211" i="6"/>
  <c r="E212" i="6"/>
  <c r="E213" i="6" s="1"/>
  <c r="E214" i="6" s="1"/>
  <c r="E215" i="6" s="1"/>
  <c r="E217" i="6"/>
  <c r="E218" i="6" s="1"/>
  <c r="E219" i="6" s="1"/>
  <c r="E220" i="6"/>
  <c r="E221" i="6"/>
  <c r="E223" i="6"/>
  <c r="E224" i="6"/>
  <c r="E225" i="6"/>
  <c r="E226" i="6"/>
  <c r="E227" i="6"/>
  <c r="E229" i="6"/>
  <c r="E230" i="6" s="1"/>
  <c r="E231" i="6" s="1"/>
  <c r="E232" i="6" s="1"/>
  <c r="E233" i="6" s="1"/>
  <c r="E235" i="6"/>
  <c r="E236" i="6" s="1"/>
  <c r="E237" i="6" s="1"/>
  <c r="E238" i="6" s="1"/>
  <c r="E239" i="6" s="1"/>
  <c r="E241" i="6"/>
  <c r="E242" i="6"/>
  <c r="E243" i="6"/>
  <c r="E244" i="6"/>
  <c r="E245" i="6"/>
  <c r="E247" i="6"/>
  <c r="E248" i="6" s="1"/>
  <c r="E249" i="6"/>
  <c r="E250" i="6" s="1"/>
  <c r="E251" i="6" s="1"/>
  <c r="E253" i="6"/>
  <c r="E254" i="6"/>
  <c r="E255" i="6" s="1"/>
  <c r="E256" i="6" s="1"/>
  <c r="E257" i="6" s="1"/>
  <c r="E259" i="6"/>
  <c r="E260" i="6"/>
  <c r="E261" i="6" s="1"/>
  <c r="E262" i="6" s="1"/>
  <c r="E263" i="6"/>
  <c r="E265" i="6"/>
  <c r="E266" i="6"/>
  <c r="E267" i="6" s="1"/>
  <c r="E268" i="6" s="1"/>
  <c r="E269" i="6" s="1"/>
  <c r="E271" i="6"/>
  <c r="E272" i="6" s="1"/>
  <c r="E273" i="6" s="1"/>
  <c r="E274" i="6" s="1"/>
  <c r="E275" i="6" s="1"/>
  <c r="E277" i="6"/>
  <c r="E278" i="6"/>
  <c r="E279" i="6"/>
  <c r="E280" i="6" s="1"/>
  <c r="E281" i="6" s="1"/>
  <c r="E283" i="6"/>
  <c r="E284" i="6" s="1"/>
  <c r="E285" i="6" s="1"/>
  <c r="E286" i="6" s="1"/>
  <c r="E287" i="6" s="1"/>
  <c r="E289" i="6"/>
  <c r="E290" i="6" s="1"/>
  <c r="E291" i="6" s="1"/>
  <c r="E292" i="6"/>
  <c r="E293" i="6"/>
  <c r="E295" i="6"/>
  <c r="E296" i="6"/>
  <c r="E297" i="6" s="1"/>
  <c r="E298" i="6" s="1"/>
  <c r="E299" i="6" s="1"/>
  <c r="E301" i="6"/>
  <c r="E302" i="6"/>
  <c r="E303" i="6"/>
  <c r="E304" i="6" s="1"/>
  <c r="E305" i="6" s="1"/>
  <c r="E307" i="6"/>
  <c r="E308" i="6"/>
  <c r="E309" i="6"/>
  <c r="E310" i="6"/>
  <c r="E311" i="6"/>
  <c r="E313" i="6"/>
  <c r="E314" i="6" s="1"/>
  <c r="E315" i="6" s="1"/>
  <c r="E316" i="6" s="1"/>
  <c r="E317" i="6" s="1"/>
  <c r="E319" i="6"/>
  <c r="E320" i="6" s="1"/>
  <c r="E321" i="6"/>
  <c r="E322" i="6" s="1"/>
  <c r="E323" i="6" s="1"/>
  <c r="E325" i="6"/>
  <c r="E326" i="6"/>
  <c r="E327" i="6"/>
  <c r="E328" i="6"/>
  <c r="E329" i="6" s="1"/>
  <c r="E331" i="6"/>
  <c r="E332" i="6" s="1"/>
  <c r="E333" i="6" s="1"/>
  <c r="E334" i="6" s="1"/>
  <c r="E335" i="6" s="1"/>
  <c r="E337" i="6"/>
  <c r="E338" i="6"/>
  <c r="E339" i="6" s="1"/>
  <c r="E340" i="6" s="1"/>
  <c r="E341" i="6" s="1"/>
  <c r="E343" i="6"/>
  <c r="E344" i="6"/>
  <c r="E345" i="6"/>
  <c r="E346" i="6" s="1"/>
  <c r="E347" i="6" s="1"/>
  <c r="E349" i="6"/>
  <c r="E350" i="6"/>
  <c r="E351" i="6" s="1"/>
  <c r="E352" i="6" s="1"/>
  <c r="E353" i="6" s="1"/>
  <c r="E355" i="6"/>
  <c r="E356" i="6" s="1"/>
  <c r="E357" i="6" s="1"/>
  <c r="E358" i="6" s="1"/>
  <c r="E359" i="6" s="1"/>
  <c r="E361" i="6"/>
  <c r="E362" i="6" s="1"/>
  <c r="E363" i="6" s="1"/>
  <c r="E364" i="6" s="1"/>
  <c r="E365" i="6" s="1"/>
  <c r="E367" i="6"/>
  <c r="E368" i="6" s="1"/>
  <c r="E369" i="6" s="1"/>
  <c r="E370" i="6" s="1"/>
  <c r="E371" i="6" s="1"/>
  <c r="E373" i="6"/>
  <c r="E374" i="6"/>
  <c r="E375" i="6"/>
  <c r="E376" i="6" s="1"/>
  <c r="E377" i="6" s="1"/>
  <c r="E379" i="6"/>
  <c r="E380" i="6"/>
  <c r="E381" i="6" s="1"/>
  <c r="E382" i="6" s="1"/>
  <c r="E383" i="6" s="1"/>
  <c r="E385" i="6"/>
  <c r="E386" i="6"/>
  <c r="E387" i="6"/>
  <c r="E388" i="6" s="1"/>
  <c r="E389" i="6" s="1"/>
  <c r="E391" i="6"/>
  <c r="E392" i="6" s="1"/>
  <c r="E393" i="6"/>
  <c r="E394" i="6"/>
  <c r="E395" i="6"/>
  <c r="E397" i="6"/>
  <c r="E398" i="6"/>
  <c r="E399" i="6" s="1"/>
  <c r="E400" i="6" s="1"/>
  <c r="E401" i="6" s="1"/>
  <c r="E403" i="6"/>
  <c r="E404" i="6" s="1"/>
  <c r="E405" i="6" s="1"/>
  <c r="E406" i="6" s="1"/>
  <c r="E407" i="6" s="1"/>
  <c r="E409" i="6"/>
  <c r="E410" i="6"/>
  <c r="E411" i="6"/>
  <c r="E412" i="6"/>
  <c r="E413" i="6" s="1"/>
  <c r="E415" i="6"/>
  <c r="E416" i="6" s="1"/>
  <c r="E417" i="6" s="1"/>
  <c r="E418" i="6" s="1"/>
  <c r="E419" i="6" s="1"/>
  <c r="E421" i="6"/>
  <c r="E422" i="6"/>
  <c r="E423" i="6" s="1"/>
  <c r="E424" i="6" s="1"/>
  <c r="E425" i="6" s="1"/>
  <c r="E427" i="6"/>
  <c r="E428" i="6"/>
  <c r="E429" i="6" s="1"/>
  <c r="E430" i="6" s="1"/>
  <c r="E431" i="6" s="1"/>
  <c r="E433" i="6"/>
  <c r="E434" i="6" s="1"/>
  <c r="E435" i="6" s="1"/>
  <c r="E436" i="6"/>
  <c r="E437" i="6"/>
  <c r="E439" i="6"/>
  <c r="E440" i="6" s="1"/>
  <c r="E441" i="6" s="1"/>
  <c r="E442" i="6" s="1"/>
  <c r="E443" i="6" s="1"/>
  <c r="E445" i="6"/>
  <c r="E446" i="6" s="1"/>
  <c r="E447" i="6" s="1"/>
  <c r="E448" i="6" s="1"/>
  <c r="E449" i="6" s="1"/>
  <c r="E451" i="6"/>
  <c r="E452" i="6" s="1"/>
  <c r="E453" i="6" s="1"/>
  <c r="E454" i="6" s="1"/>
  <c r="E455" i="6" s="1"/>
  <c r="E457" i="6"/>
  <c r="E458" i="6"/>
  <c r="E459" i="6"/>
  <c r="E460" i="6"/>
  <c r="E461" i="6"/>
  <c r="E463" i="6"/>
  <c r="E464" i="6" s="1"/>
  <c r="E465" i="6"/>
  <c r="E466" i="6" s="1"/>
  <c r="E467" i="6" s="1"/>
  <c r="E469" i="6"/>
  <c r="E470" i="6"/>
  <c r="E471" i="6" s="1"/>
  <c r="E472" i="6" s="1"/>
  <c r="E473" i="6" s="1"/>
  <c r="E475" i="6"/>
  <c r="E476" i="6"/>
  <c r="E477" i="6" s="1"/>
  <c r="E478" i="6" s="1"/>
  <c r="E479" i="6"/>
  <c r="E481" i="6"/>
  <c r="E482" i="6"/>
  <c r="E483" i="6" s="1"/>
  <c r="E484" i="6" s="1"/>
  <c r="E485" i="6" s="1"/>
  <c r="E487" i="6"/>
  <c r="E488" i="6" s="1"/>
  <c r="E489" i="6" s="1"/>
  <c r="E490" i="6" s="1"/>
  <c r="E491" i="6" s="1"/>
  <c r="E493" i="6"/>
  <c r="E494" i="6"/>
  <c r="E495" i="6"/>
  <c r="E496" i="6" s="1"/>
  <c r="E497" i="6" s="1"/>
  <c r="E499" i="6"/>
  <c r="E500" i="6" s="1"/>
  <c r="E501" i="6" s="1"/>
  <c r="E502" i="6" s="1"/>
  <c r="E503" i="6" s="1"/>
  <c r="E505" i="6"/>
  <c r="E506" i="6" s="1"/>
  <c r="E507" i="6" s="1"/>
  <c r="E508" i="6"/>
  <c r="E509" i="6"/>
  <c r="E511" i="6"/>
  <c r="E512" i="6"/>
  <c r="E513" i="6" s="1"/>
  <c r="E514" i="6" s="1"/>
  <c r="E515" i="6" s="1"/>
  <c r="E517" i="6"/>
  <c r="E518" i="6"/>
  <c r="E519" i="6"/>
  <c r="E520" i="6" s="1"/>
  <c r="E521" i="6" s="1"/>
  <c r="E523" i="6"/>
  <c r="E524" i="6"/>
  <c r="E525" i="6"/>
  <c r="E526" i="6"/>
  <c r="E527" i="6"/>
  <c r="E529" i="6"/>
  <c r="E530" i="6" s="1"/>
  <c r="E531" i="6" s="1"/>
  <c r="E532" i="6" s="1"/>
  <c r="E533" i="6" s="1"/>
  <c r="N37" i="14" l="1"/>
  <c r="D5" i="6"/>
  <c r="E3" i="6"/>
  <c r="E4" i="6" s="1"/>
  <c r="E5" i="6" s="1"/>
  <c r="B3" i="6"/>
  <c r="B4" i="6"/>
  <c r="B1" i="6"/>
  <c r="B1" i="9"/>
  <c r="B2" i="9" s="1"/>
  <c r="D2" i="9"/>
  <c r="B3" i="9" l="1"/>
  <c r="D3" i="9"/>
  <c r="B47" i="6"/>
  <c r="C47" i="6" s="1"/>
  <c r="C5" i="6"/>
  <c r="B2" i="6"/>
  <c r="B7" i="6"/>
  <c r="B56" i="6" s="1"/>
  <c r="C68" i="6" s="1"/>
  <c r="B11" i="6"/>
  <c r="B51" i="6" s="1"/>
  <c r="C75" i="6" s="1"/>
  <c r="C15" i="6"/>
  <c r="B28" i="6"/>
  <c r="B66" i="6" s="1"/>
  <c r="C66" i="6" s="1"/>
  <c r="C32" i="6"/>
  <c r="B16" i="6"/>
  <c r="B52" i="6" s="1"/>
  <c r="C76" i="6" s="1"/>
  <c r="C7" i="6"/>
  <c r="C11" i="6"/>
  <c r="B20" i="6"/>
  <c r="B76" i="6" s="1"/>
  <c r="C52" i="6" s="1"/>
  <c r="B24" i="6"/>
  <c r="B71" i="6" s="1"/>
  <c r="C59" i="6" s="1"/>
  <c r="C28" i="6"/>
  <c r="C20" i="6"/>
  <c r="C4" i="6"/>
  <c r="B8" i="6"/>
  <c r="B62" i="6" s="1"/>
  <c r="C62" i="6" s="1"/>
  <c r="B12" i="6"/>
  <c r="B57" i="6" s="1"/>
  <c r="C69" i="6" s="1"/>
  <c r="C16" i="6"/>
  <c r="B25" i="6"/>
  <c r="B77" i="6" s="1"/>
  <c r="C53" i="6" s="1"/>
  <c r="B29" i="6"/>
  <c r="B72" i="6" s="1"/>
  <c r="C60" i="6" s="1"/>
  <c r="C33" i="6"/>
  <c r="B6" i="6"/>
  <c r="B50" i="6" s="1"/>
  <c r="C74" i="6" s="1"/>
  <c r="B13" i="6"/>
  <c r="B63" i="6" s="1"/>
  <c r="C63" i="6" s="1"/>
  <c r="C18" i="6"/>
  <c r="C24" i="6"/>
  <c r="B30" i="6"/>
  <c r="B78" i="6" s="1"/>
  <c r="C54" i="6" s="1"/>
  <c r="C35" i="6"/>
  <c r="C6" i="6"/>
  <c r="C13" i="6"/>
  <c r="B19" i="6"/>
  <c r="B70" i="6" s="1"/>
  <c r="C58" i="6" s="1"/>
  <c r="C25" i="6"/>
  <c r="C30" i="6"/>
  <c r="B21" i="6"/>
  <c r="B53" i="6" s="1"/>
  <c r="C77" i="6" s="1"/>
  <c r="C12" i="6"/>
  <c r="C19" i="6"/>
  <c r="B31" i="6"/>
  <c r="B55" i="6" s="1"/>
  <c r="C79" i="6" s="1"/>
  <c r="C26" i="6"/>
  <c r="B9" i="6"/>
  <c r="B68" i="6" s="1"/>
  <c r="C56" i="6" s="1"/>
  <c r="B32" i="6"/>
  <c r="B61" i="6" s="1"/>
  <c r="C73" i="6" s="1"/>
  <c r="C23" i="6"/>
  <c r="C8" i="6"/>
  <c r="B14" i="6"/>
  <c r="B69" i="6" s="1"/>
  <c r="C57" i="6" s="1"/>
  <c r="B26" i="6"/>
  <c r="B54" i="6" s="1"/>
  <c r="C78" i="6" s="1"/>
  <c r="C31" i="6"/>
  <c r="C14" i="6"/>
  <c r="C21" i="6"/>
  <c r="C9" i="6"/>
  <c r="B15" i="6"/>
  <c r="B75" i="6" s="1"/>
  <c r="C51" i="6" s="1"/>
  <c r="B27" i="6"/>
  <c r="B60" i="6" s="1"/>
  <c r="C72" i="6" s="1"/>
  <c r="B33" i="6"/>
  <c r="B67" i="6" s="1"/>
  <c r="C67" i="6" s="1"/>
  <c r="B35" i="6"/>
  <c r="B79" i="6" s="1"/>
  <c r="C55" i="6" s="1"/>
  <c r="B22" i="6"/>
  <c r="B59" i="6" s="1"/>
  <c r="C71" i="6" s="1"/>
  <c r="C27" i="6"/>
  <c r="C17" i="6"/>
  <c r="B23" i="6"/>
  <c r="B65" i="6" s="1"/>
  <c r="C65" i="6" s="1"/>
  <c r="B48" i="6"/>
  <c r="C48" i="6" s="1"/>
  <c r="B10" i="6"/>
  <c r="B74" i="6" s="1"/>
  <c r="C50" i="6" s="1"/>
  <c r="B17" i="6"/>
  <c r="B58" i="6" s="1"/>
  <c r="C70" i="6" s="1"/>
  <c r="C22" i="6"/>
  <c r="B34" i="6"/>
  <c r="B73" i="6" s="1"/>
  <c r="C61" i="6" s="1"/>
  <c r="C34" i="6"/>
  <c r="B18" i="6"/>
  <c r="B64" i="6" s="1"/>
  <c r="C64" i="6" s="1"/>
  <c r="C10" i="6"/>
  <c r="C29" i="6"/>
  <c r="B5" i="6"/>
  <c r="B49" i="6" l="1"/>
  <c r="C49" i="6" s="1"/>
  <c r="C3" i="6"/>
  <c r="D4" i="9"/>
  <c r="B4" i="9"/>
  <c r="C5" i="9"/>
  <c r="B47" i="9"/>
  <c r="C47" i="9" s="1"/>
  <c r="C8" i="9" l="1"/>
  <c r="C12" i="9"/>
  <c r="B21" i="9"/>
  <c r="B53" i="9" s="1"/>
  <c r="C77" i="9" s="1"/>
  <c r="C29" i="9"/>
  <c r="C9" i="9"/>
  <c r="B22" i="9"/>
  <c r="B59" i="9" s="1"/>
  <c r="C71" i="9" s="1"/>
  <c r="C26" i="9"/>
  <c r="B14" i="9"/>
  <c r="B69" i="9" s="1"/>
  <c r="C57" i="9" s="1"/>
  <c r="B18" i="9"/>
  <c r="B64" i="9" s="1"/>
  <c r="C64" i="9" s="1"/>
  <c r="C22" i="9"/>
  <c r="B31" i="9"/>
  <c r="B55" i="9" s="1"/>
  <c r="C79" i="9" s="1"/>
  <c r="B35" i="9"/>
  <c r="B79" i="9" s="1"/>
  <c r="C55" i="9" s="1"/>
  <c r="C14" i="9"/>
  <c r="C18" i="9"/>
  <c r="B27" i="9"/>
  <c r="B60" i="9" s="1"/>
  <c r="C72" i="9" s="1"/>
  <c r="C31" i="9"/>
  <c r="C35" i="9"/>
  <c r="B6" i="9"/>
  <c r="B50" i="9" s="1"/>
  <c r="C74" i="9" s="1"/>
  <c r="B19" i="9"/>
  <c r="B70" i="9" s="1"/>
  <c r="C58" i="9" s="1"/>
  <c r="B23" i="9"/>
  <c r="B65" i="9" s="1"/>
  <c r="C65" i="9" s="1"/>
  <c r="C27" i="9"/>
  <c r="B7" i="9"/>
  <c r="B56" i="9" s="1"/>
  <c r="C68" i="9" s="1"/>
  <c r="B11" i="9"/>
  <c r="B51" i="9" s="1"/>
  <c r="C75" i="9" s="1"/>
  <c r="B28" i="9"/>
  <c r="B66" i="9" s="1"/>
  <c r="C66" i="9" s="1"/>
  <c r="C32" i="9"/>
  <c r="C16" i="9"/>
  <c r="C24" i="9"/>
  <c r="B48" i="9"/>
  <c r="C48" i="9" s="1"/>
  <c r="C4" i="9"/>
  <c r="B9" i="9"/>
  <c r="B68" i="9" s="1"/>
  <c r="C56" i="9" s="1"/>
  <c r="B17" i="9"/>
  <c r="B58" i="9" s="1"/>
  <c r="C70" i="9" s="1"/>
  <c r="B33" i="9"/>
  <c r="B67" i="9" s="1"/>
  <c r="C67" i="9" s="1"/>
  <c r="C17" i="9"/>
  <c r="C33" i="9"/>
  <c r="B12" i="9"/>
  <c r="B57" i="9" s="1"/>
  <c r="C69" i="9" s="1"/>
  <c r="C11" i="9"/>
  <c r="C19" i="9"/>
  <c r="B26" i="9"/>
  <c r="B54" i="9" s="1"/>
  <c r="C78" i="9" s="1"/>
  <c r="B34" i="9"/>
  <c r="B73" i="9" s="1"/>
  <c r="C61" i="9" s="1"/>
  <c r="C34" i="9"/>
  <c r="C28" i="9"/>
  <c r="B13" i="9"/>
  <c r="B63" i="9" s="1"/>
  <c r="C63" i="9" s="1"/>
  <c r="B8" i="9"/>
  <c r="B62" i="9" s="1"/>
  <c r="C62" i="9" s="1"/>
  <c r="C13" i="9"/>
  <c r="B29" i="9"/>
  <c r="B72" i="9" s="1"/>
  <c r="C60" i="9" s="1"/>
  <c r="B24" i="9"/>
  <c r="B71" i="9" s="1"/>
  <c r="C59" i="9" s="1"/>
  <c r="C6" i="9"/>
  <c r="C21" i="9"/>
  <c r="C23" i="9"/>
  <c r="B16" i="9"/>
  <c r="B52" i="9" s="1"/>
  <c r="C76" i="9" s="1"/>
  <c r="C7" i="9"/>
  <c r="B32" i="9"/>
  <c r="B61" i="9" s="1"/>
  <c r="C73" i="9" s="1"/>
  <c r="D5" i="9"/>
  <c r="C20" i="9" s="1"/>
  <c r="B5" i="9"/>
  <c r="B25" i="9" l="1"/>
  <c r="B77" i="9" s="1"/>
  <c r="C53" i="9" s="1"/>
  <c r="C30" i="9"/>
  <c r="B30" i="9"/>
  <c r="B78" i="9" s="1"/>
  <c r="C54" i="9" s="1"/>
  <c r="C25" i="9"/>
  <c r="B15" i="9"/>
  <c r="B75" i="9" s="1"/>
  <c r="C51" i="9" s="1"/>
  <c r="C10" i="9"/>
  <c r="C15" i="9"/>
  <c r="B49" i="9"/>
  <c r="C49" i="9" s="1"/>
  <c r="C3" i="9"/>
  <c r="B20" i="9"/>
  <c r="B76" i="9" s="1"/>
  <c r="C52" i="9" s="1"/>
  <c r="B10" i="9"/>
  <c r="B74" i="9" s="1"/>
  <c r="C50" i="9"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ruud</author>
  </authors>
  <commentList>
    <comment ref="A1" authorId="0" shapeId="0" xr:uid="{00000000-0006-0000-0200-000001000000}">
      <text>
        <r>
          <rPr>
            <b/>
            <sz val="9"/>
            <color indexed="81"/>
            <rFont val="Tahoma"/>
            <family val="2"/>
          </rPr>
          <t>ruud:</t>
        </r>
        <r>
          <rPr>
            <sz val="9"/>
            <color indexed="81"/>
            <rFont val="Tahoma"/>
            <family val="2"/>
          </rPr>
          <t xml:space="preserve">
WIP
- all buffers now move
- can inspect leds of individual buffers
- can set leds of individual buffers
TODO
- set whole characters
- set character animated in from left/below/above
- skip frames in animation / division number
- set rotation / fill from animation
- rotate patterns in for columns / rows: also at a specific column and row.
- take into account colums with cC rR etc.
- remove dropdowns for the animation: they are now in commands...
And then
- make the animation fade out
- make the animation go round
- control how intermediate buffers are shown (show e.g. only begin/last)</t>
        </r>
      </text>
    </comment>
  </commentList>
</comments>
</file>

<file path=xl/sharedStrings.xml><?xml version="1.0" encoding="utf-8"?>
<sst xmlns="http://schemas.openxmlformats.org/spreadsheetml/2006/main" count="534" uniqueCount="290">
  <si>
    <t>=e</t>
  </si>
  <si>
    <t>=e=d3.=k6=c5.01111=c6.00111=c7.00011=c8.00001=k4=c5.10000=c6.11000=c7.11100=c8.11110=C9.11111=pb=pb=pb=pb</t>
  </si>
  <si>
    <t>sleep n frames</t>
  </si>
  <si>
    <t>=e=k1a=k2=pd=k5o=k4O=k6=pb=k4.........................</t>
  </si>
  <si>
    <t>=1=r=2=r=3=r=4=r=5=r=6=r=7=r</t>
  </si>
  <si>
    <t>=1=k=2=k=3=k=4=k=5=k=6=k=7=k</t>
  </si>
  <si>
    <t>=1=l=l=l=2=l=l=l=3=l=l=l=4=l=l=l=5=l=l=l=6=l=l=l=7=l=l=l</t>
  </si>
  <si>
    <t xml:space="preserve">(1234567890),&lt;+-/*&gt;. </t>
  </si>
  <si>
    <t>[</t>
  </si>
  <si>
    <t>abcdefghijklmnopqrstuwzxyz</t>
  </si>
  <si>
    <t>0123456789</t>
  </si>
  <si>
    <t>+-/*=-_[|]\()' " :;.,&lt;&gt;</t>
  </si>
  <si>
    <t>=6UVWXYZ</t>
  </si>
  <si>
    <t>ABCDEFGHIJKLMNOPQRSTUVWXYZ</t>
  </si>
  <si>
    <t>Pattern</t>
  </si>
  <si>
    <t>A</t>
  </si>
  <si>
    <t>B</t>
  </si>
  <si>
    <t>C</t>
  </si>
  <si>
    <t>D</t>
  </si>
  <si>
    <t>E</t>
  </si>
  <si>
    <t>F</t>
  </si>
  <si>
    <t xml:space="preserve"> </t>
  </si>
  <si>
    <t>G</t>
  </si>
  <si>
    <t>H</t>
  </si>
  <si>
    <t>I</t>
  </si>
  <si>
    <t>J</t>
  </si>
  <si>
    <t>K</t>
  </si>
  <si>
    <t>L</t>
  </si>
  <si>
    <t>M</t>
  </si>
  <si>
    <t>N</t>
  </si>
  <si>
    <t>O</t>
  </si>
  <si>
    <t>P</t>
  </si>
  <si>
    <t>Q</t>
  </si>
  <si>
    <t>R</t>
  </si>
  <si>
    <t>S</t>
  </si>
  <si>
    <t>T</t>
  </si>
  <si>
    <t>U</t>
  </si>
  <si>
    <t>V</t>
  </si>
  <si>
    <t>W</t>
  </si>
  <si>
    <t>X</t>
  </si>
  <si>
    <t>Y</t>
  </si>
  <si>
    <t>Z</t>
  </si>
  <si>
    <t>a</t>
  </si>
  <si>
    <t>b</t>
  </si>
  <si>
    <t>c</t>
  </si>
  <si>
    <t>d</t>
  </si>
  <si>
    <t>e</t>
  </si>
  <si>
    <t>f</t>
  </si>
  <si>
    <t>g</t>
  </si>
  <si>
    <t>h</t>
  </si>
  <si>
    <t>i</t>
  </si>
  <si>
    <t>j</t>
  </si>
  <si>
    <t>k</t>
  </si>
  <si>
    <t>l</t>
  </si>
  <si>
    <t>m</t>
  </si>
  <si>
    <t>n</t>
  </si>
  <si>
    <t>o</t>
  </si>
  <si>
    <t>p</t>
  </si>
  <si>
    <t>q</t>
  </si>
  <si>
    <t>r</t>
  </si>
  <si>
    <t>s</t>
  </si>
  <si>
    <t>t</t>
  </si>
  <si>
    <t>u</t>
  </si>
  <si>
    <t>v</t>
  </si>
  <si>
    <t>w</t>
  </si>
  <si>
    <t>x</t>
  </si>
  <si>
    <t>y</t>
  </si>
  <si>
    <t>z</t>
  </si>
  <si>
    <t>.</t>
  </si>
  <si>
    <t>:</t>
  </si>
  <si>
    <t>;</t>
  </si>
  <si>
    <t>,</t>
  </si>
  <si>
    <t>'</t>
  </si>
  <si>
    <t>"</t>
  </si>
  <si>
    <t>(</t>
  </si>
  <si>
    <t>!</t>
  </si>
  <si>
    <t>?</t>
  </si>
  <si>
    <t>)</t>
  </si>
  <si>
    <t>+</t>
  </si>
  <si>
    <t>-</t>
  </si>
  <si>
    <t>*</t>
  </si>
  <si>
    <t>/</t>
  </si>
  <si>
    <t>=</t>
  </si>
  <si>
    <t>|</t>
  </si>
  <si>
    <t>\</t>
  </si>
  <si>
    <t>&lt;</t>
  </si>
  <si>
    <t>_</t>
  </si>
  <si>
    <t>&gt;</t>
  </si>
  <si>
    <t>=b</t>
  </si>
  <si>
    <t>=l</t>
  </si>
  <si>
    <t>RUIT =r (diamond)</t>
  </si>
  <si>
    <t>BLOK =b (3x5 block)</t>
  </si>
  <si>
    <t>LIJN =l (line)</t>
  </si>
  <si>
    <t>KRUIS =k (cross)</t>
  </si>
  <si>
    <t>=0</t>
  </si>
  <si>
    <t>=1..7</t>
  </si>
  <si>
    <t>Set color to nothing (no light)</t>
  </si>
  <si>
    <t>Set color to blue(1),red(2),cyan(3),red(4),magenta(5),yellow(6) or white(7)</t>
  </si>
  <si>
    <t>Alternative characters:</t>
  </si>
  <si>
    <t>erase all LEDS</t>
  </si>
  <si>
    <t>arg</t>
  </si>
  <si>
    <t>set column LEDS</t>
  </si>
  <si>
    <t>dd.bbbbb</t>
  </si>
  <si>
    <t>d.bbbbbbbbbbbbbbbbbbbbbbbbb</t>
  </si>
  <si>
    <t>set row LEDS</t>
  </si>
  <si>
    <t>[0..7]</t>
  </si>
  <si>
    <t>set intensity</t>
  </si>
  <si>
    <t>display equal character</t>
  </si>
  <si>
    <t>dddd</t>
  </si>
  <si>
    <t>display pattern "dd"</t>
  </si>
  <si>
    <t>PATTERNS</t>
  </si>
  <si>
    <t>diamond</t>
  </si>
  <si>
    <t>block</t>
  </si>
  <si>
    <t>star</t>
  </si>
  <si>
    <t>set color to..[none,blue,red,cyan,green,magenta,yellow,white]</t>
  </si>
  <si>
    <t>set timing in ms affects ALL the other buffers as well… Time your timing…</t>
  </si>
  <si>
    <t>UC to "finish" &amp; capture</t>
  </si>
  <si>
    <t>UC/LC</t>
  </si>
  <si>
    <t>vertical line</t>
  </si>
  <si>
    <t>start n col</t>
  </si>
  <si>
    <t>width</t>
  </si>
  <si>
    <t>end n col</t>
  </si>
  <si>
    <t>char OK</t>
  </si>
  <si>
    <t>Text R/L</t>
  </si>
  <si>
    <t>Text L/R</t>
  </si>
  <si>
    <t>Text down</t>
  </si>
  <si>
    <t>Text up</t>
  </si>
  <si>
    <t>dd.</t>
  </si>
  <si>
    <t>=d</t>
  </si>
  <si>
    <t>=c</t>
  </si>
  <si>
    <t>divide framerate for this channel (only every dd frame is updated)</t>
  </si>
  <si>
    <t>static</t>
  </si>
  <si>
    <t>dd.text.</t>
  </si>
  <si>
    <t>Display text from position dd. The separator can be chosen to any character NOT a digit and NOT in the string.</t>
  </si>
  <si>
    <t>UC to put whole text in one go</t>
  </si>
  <si>
    <t>ignored</t>
  </si>
  <si>
    <t>animate into column 25</t>
  </si>
  <si>
    <t>Behaviour of text in various situations per buffer</t>
  </si>
  <si>
    <t>Text in the input buffer</t>
  </si>
  <si>
    <t>C[col].[5digits]</t>
  </si>
  <si>
    <t>placed, stop processing</t>
  </si>
  <si>
    <t>c[col].[5digits]</t>
  </si>
  <si>
    <t>T[col].[SomeText].</t>
  </si>
  <si>
    <t>t[col].[SomeText].</t>
  </si>
  <si>
    <t>animate in specified column, one column per subsequent cycle, continue processing</t>
  </si>
  <si>
    <t>The reason for ignoring text is from the fact that the column in which to "flow in" the text cannot be determined. So the command is meaningless. Therefore use the T, or t command for storing text in these buffers</t>
  </si>
  <si>
    <t>placed, whole column, stop processing</t>
  </si>
  <si>
    <t>placed, whole column, continue processing</t>
  </si>
  <si>
    <t>animate into column 1, note that characters become Right to Left.</t>
  </si>
  <si>
    <t>(1) Static</t>
  </si>
  <si>
    <t>(2) R-&gt;L</t>
  </si>
  <si>
    <t>(3) L-R</t>
  </si>
  <si>
    <t>(4) Up</t>
  </si>
  <si>
    <t>(5) Down</t>
  </si>
  <si>
    <t>Implementation notes</t>
  </si>
  <si>
    <t>transform to C commands for column 1 into animate buffer</t>
  </si>
  <si>
    <t>transform to C commands for column 25 into animate buffer</t>
  </si>
  <si>
    <t>none</t>
  </si>
  <si>
    <t>Display of a…</t>
  </si>
  <si>
    <t>character</t>
  </si>
  <si>
    <t>what does it do</t>
  </si>
  <si>
    <t>comment</t>
  </si>
  <si>
    <t>set filling for buffer 2-5</t>
  </si>
  <si>
    <t>switch on looping information for buffer 2-5</t>
  </si>
  <si>
    <t>serialize bits of SomeText in rows in time dimension and shift in one row at a time from row 5, force wait of further cycles when not all columns are free for this buffer</t>
  </si>
  <si>
    <t>serialize bits of SomeText in rows in time dimension and shift in one row at a time from row 1, force wait of further cycles when not all columns are free for this buffer</t>
  </si>
  <si>
    <t>animate in specified column, one column per subsequent cycle, continue processing,  note that characters are inverted (right to left), so the reading order is OK.</t>
  </si>
  <si>
    <t>placed, whole row, stop processing</t>
  </si>
  <si>
    <t>placed, whole row, continue processing</t>
  </si>
  <si>
    <t>R[row].[25digits]</t>
  </si>
  <si>
    <t>r[row].[25digits]</t>
  </si>
  <si>
    <t>animate in subsequent columns from row 5, continue processing: block entry in column when other animations are queued for any of them</t>
  </si>
  <si>
    <t>animate in subsequent columns from row 1, continue processing: block entry in column when other animations are queued for any of them</t>
  </si>
  <si>
    <t>=e=k6=t1.1.=t9.2.=t17.3.=k4=S5.=t17.a.=S25.</t>
  </si>
  <si>
    <t>transform to c commands (to continue processing all columns) followed by S1 to stop processing</t>
  </si>
  <si>
    <t>serialize bits of SomeText into columns (fixed) in time dimension and shift in one column at a time</t>
  </si>
  <si>
    <t>serialize bits into columns of SomeText in time dimension (fixed) and shift in one column at a time, use TEXT input</t>
  </si>
  <si>
    <t>T buf 1,2,3,4,5</t>
  </si>
  <si>
    <t>=c1.00000=c2.11111=c3.10100=c4.10100</t>
  </si>
  <si>
    <t>t buf 1</t>
  </si>
  <si>
    <t>t buf 2</t>
  </si>
  <si>
    <t>t buf 3</t>
  </si>
  <si>
    <t>t buf 4</t>
  </si>
  <si>
    <t>t buf 5</t>
  </si>
  <si>
    <t>=C1.00000=C2.11111=C3.10100=C4.10100</t>
  </si>
  <si>
    <t>=C25.00000=C25.11111=C25.10100=C25.10100</t>
  </si>
  <si>
    <t>=C1.10100=C1.10100=C1.11111=C1.00000</t>
  </si>
  <si>
    <t>=r5.0111=r5.0100=r5.0111=r5.0100=r5.0100=r5.0000</t>
  </si>
  <si>
    <t>=r1.0100=r1.0100=r1.0111=r1.0100=r1.0111=r1.0000</t>
  </si>
  <si>
    <t>=C2.00000=C3.11111=C4.10100=C5.10100</t>
  </si>
  <si>
    <t>=c2.00000=c2.11111=c2.10100=c2.10100</t>
  </si>
  <si>
    <t>=c2.10100=c2.10100=c2.11111=c2.00000</t>
  </si>
  <si>
    <t>as is, prepend to animate buffer</t>
  </si>
  <si>
    <t>wait till no more commands in this column, serialize</t>
  </si>
  <si>
    <t>monitor for delays in columns for this row, serialize</t>
  </si>
  <si>
    <t>followed by S1.</t>
  </si>
  <si>
    <t>=e=k2=T13.xyz.=S7</t>
  </si>
  <si>
    <t>=e=k4=t1.xyz.=S7</t>
  </si>
  <si>
    <t>placed, one clomun at a time</t>
  </si>
  <si>
    <t>transform to C commands (in time AND position) and process</t>
  </si>
  <si>
    <t>Examples: (place in one of the green command buffers B41..44 abd press "Add Text" Tip switch on auto add to register the commands..</t>
  </si>
  <si>
    <t>=k5=pr  =k4abcdefghijklmnopqrstuvwxyz  =k3=pr  =k2(1234567890),&lt;+-/*&gt;.  =k1=pr  =k6ABCDEFGHIJKLMNOPQRSTUVWXYZ</t>
  </si>
  <si>
    <t>Column1</t>
  </si>
  <si>
    <t>Host</t>
  </si>
  <si>
    <t>User</t>
  </si>
  <si>
    <t>Password</t>
  </si>
  <si>
    <t>Port</t>
  </si>
  <si>
    <t>topic root</t>
  </si>
  <si>
    <t>All</t>
  </si>
  <si>
    <t>Head</t>
  </si>
  <si>
    <t>Ring</t>
  </si>
  <si>
    <t>LED</t>
  </si>
  <si>
    <t>Timing</t>
  </si>
  <si>
    <t>Period</t>
  </si>
  <si>
    <t>ms</t>
  </si>
  <si>
    <t>Strobe</t>
  </si>
  <si>
    <t>Left Eye</t>
  </si>
  <si>
    <t>Nose</t>
  </si>
  <si>
    <t>Unique</t>
  </si>
  <si>
    <t>Miscellaneous</t>
  </si>
  <si>
    <t>Intensity</t>
  </si>
  <si>
    <t>Min Intensity</t>
  </si>
  <si>
    <t>Max Intensity</t>
  </si>
  <si>
    <t>Random Follow Nose</t>
  </si>
  <si>
    <t>Right</t>
  </si>
  <si>
    <t>Refresh rate</t>
  </si>
  <si>
    <t>RPM</t>
  </si>
  <si>
    <t>Values for MOVEMENT</t>
  </si>
  <si>
    <t>continuous</t>
  </si>
  <si>
    <t>left</t>
  </si>
  <si>
    <t>center</t>
  </si>
  <si>
    <t>right</t>
  </si>
  <si>
    <t>Values for SHAPE</t>
  </si>
  <si>
    <t>Sine</t>
  </si>
  <si>
    <t>Saw</t>
  </si>
  <si>
    <t>Blok1</t>
  </si>
  <si>
    <t>Blok2</t>
  </si>
  <si>
    <t>Random</t>
  </si>
  <si>
    <t>Values for INVERTED</t>
  </si>
  <si>
    <t>/s</t>
  </si>
  <si>
    <t>pinball requests</t>
  </si>
  <si>
    <t>Left</t>
  </si>
  <si>
    <t>Center</t>
  </si>
  <si>
    <t>Blink</t>
  </si>
  <si>
    <t>Flash</t>
  </si>
  <si>
    <t>Normal</t>
  </si>
  <si>
    <t>Inverted</t>
  </si>
  <si>
    <t>LOWRES on HIGHres Dalek</t>
  </si>
  <si>
    <t>normal</t>
  </si>
  <si>
    <t>centered</t>
  </si>
  <si>
    <t>=k3=l7</t>
  </si>
  <si>
    <t>Palette</t>
  </si>
  <si>
    <t>Left Ring</t>
  </si>
  <si>
    <t>Right Ring</t>
  </si>
  <si>
    <t>Right Eye</t>
  </si>
  <si>
    <t>Next color</t>
  </si>
  <si>
    <t>Selected color</t>
  </si>
  <si>
    <t>Follow Left Eye</t>
  </si>
  <si>
    <t>Follow Right Eye</t>
  </si>
  <si>
    <t>Follow Nose</t>
  </si>
  <si>
    <t>On</t>
  </si>
  <si>
    <t>Blink Strobing</t>
  </si>
  <si>
    <t>Flash Strobing</t>
  </si>
  <si>
    <t>Group random</t>
  </si>
  <si>
    <t>Timing Head</t>
  </si>
  <si>
    <t>Timing Ring</t>
  </si>
  <si>
    <t>Rotate</t>
  </si>
  <si>
    <t>Fill</t>
  </si>
  <si>
    <t>Auto HEAD</t>
  </si>
  <si>
    <t>Auto RING</t>
  </si>
  <si>
    <t>Description RING</t>
  </si>
  <si>
    <t>DescriptionHEAD</t>
  </si>
  <si>
    <t>MQTT sleep/active commands</t>
  </si>
  <si>
    <t>Patten</t>
  </si>
  <si>
    <t>R000000000000000000000000Z</t>
  </si>
  <si>
    <t>pinball request STOP</t>
  </si>
  <si>
    <t>pinball request DELAY CENTER</t>
  </si>
  <si>
    <t>=e=k2=I5Hello World</t>
  </si>
  <si>
    <t xml:space="preserve">=e=k6=l5Hello World!!!!!!!!                                                                                                                         </t>
  </si>
  <si>
    <t>The URL of the MQTT broker you want to use. (client certificates / TLS NOT supported yet)</t>
  </si>
  <si>
    <t>The MQTT user</t>
  </si>
  <si>
    <t>The MQTT password</t>
  </si>
  <si>
    <t>The MQTT port of the broker</t>
  </si>
  <si>
    <t>This is the root of the topic tree, where all published commands are read from and where the spreadsheet reads commands it is subscribed for</t>
  </si>
  <si>
    <t>C444OOOSNS</t>
  </si>
  <si>
    <t>Y0,0,0Z</t>
  </si>
  <si>
    <t>your.host.com</t>
  </si>
  <si>
    <t>MQTTuser</t>
  </si>
  <si>
    <t>MQTTpass</t>
  </si>
  <si>
    <t>yourlocation/pinball/DoctorWho/dalekHead/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</si>
</sst>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_ &quot;Fr.&quot;\ * #,##0.00_ ;_ &quot;Fr.&quot;\ * \-#,##0.00_ ;_ &quot;Fr.&quot;\ * &quot;-&quot;??_ ;_ @_ "/>
  </numFmts>
  <fonts count="17" x14ac:knownFonts="1">
    <font>
      <sz val="11"/>
      <color theme="1"/>
      <name val="Arial"/>
      <family val="2"/>
    </font>
    <font>
      <sz val="11"/>
      <color indexed="8"/>
      <name val="Arial"/>
      <family val="2"/>
    </font>
    <font>
      <sz val="11"/>
      <color indexed="8"/>
      <name val="Arial"/>
      <family val="2"/>
    </font>
    <font>
      <sz val="8"/>
      <name val="Arial"/>
      <family val="2"/>
    </font>
    <font>
      <sz val="8"/>
      <color indexed="8"/>
      <name val="Arial"/>
      <family val="2"/>
    </font>
    <font>
      <sz val="11"/>
      <color indexed="60"/>
      <name val="Arial"/>
      <family val="2"/>
    </font>
    <font>
      <b/>
      <i/>
      <sz val="11"/>
      <color indexed="16"/>
      <name val="Arial"/>
      <family val="2"/>
    </font>
    <font>
      <sz val="8"/>
      <color rgb="FF000000"/>
      <name val="Segoe UI"/>
      <family val="2"/>
    </font>
    <font>
      <b/>
      <sz val="9"/>
      <color indexed="81"/>
      <name val="Tahoma"/>
      <family val="2"/>
    </font>
    <font>
      <sz val="9"/>
      <color indexed="81"/>
      <name val="Tahoma"/>
      <family val="2"/>
    </font>
    <font>
      <sz val="11"/>
      <color rgb="FF3F3F76"/>
      <name val="Calibri"/>
      <family val="2"/>
      <scheme val="minor"/>
    </font>
    <font>
      <b/>
      <sz val="16"/>
      <color theme="1"/>
      <name val="Arial"/>
      <family val="2"/>
    </font>
    <font>
      <b/>
      <sz val="16"/>
      <color rgb="FF3F3F76"/>
      <name val="Calibri"/>
      <family val="2"/>
      <scheme val="minor"/>
    </font>
    <font>
      <b/>
      <sz val="11"/>
      <color rgb="FF3F3F76"/>
      <name val="Calibri"/>
      <family val="2"/>
      <scheme val="minor"/>
    </font>
    <font>
      <sz val="16"/>
      <color theme="1"/>
      <name val="Arial"/>
      <family val="2"/>
    </font>
    <font>
      <b/>
      <sz val="11"/>
      <color theme="1"/>
      <name val="Arial"/>
      <family val="2"/>
    </font>
    <font>
      <b/>
      <sz val="18"/>
      <color theme="1"/>
      <name val="Arial"/>
      <family val="2"/>
    </font>
  </fonts>
  <fills count="18">
    <fill>
      <patternFill patternType="none"/>
    </fill>
    <fill>
      <patternFill patternType="gray125"/>
    </fill>
    <fill>
      <patternFill patternType="solid">
        <fgColor indexed="42"/>
        <bgColor indexed="64"/>
      </patternFill>
    </fill>
    <fill>
      <patternFill patternType="solid">
        <fgColor indexed="22"/>
        <bgColor indexed="64"/>
      </patternFill>
    </fill>
    <fill>
      <patternFill patternType="solid">
        <fgColor indexed="29"/>
        <bgColor indexed="64"/>
      </patternFill>
    </fill>
    <fill>
      <patternFill patternType="solid">
        <fgColor indexed="11"/>
        <bgColor indexed="64"/>
      </patternFill>
    </fill>
    <fill>
      <patternFill patternType="solid">
        <fgColor indexed="44"/>
        <bgColor indexed="64"/>
      </patternFill>
    </fill>
    <fill>
      <patternFill patternType="solid">
        <fgColor indexed="31"/>
        <bgColor indexed="64"/>
      </patternFill>
    </fill>
    <fill>
      <patternFill patternType="solid">
        <fgColor indexed="9"/>
        <bgColor indexed="24"/>
      </patternFill>
    </fill>
    <fill>
      <patternFill patternType="solid">
        <fgColor indexed="22"/>
        <bgColor indexed="24"/>
      </patternFill>
    </fill>
    <fill>
      <patternFill patternType="solid">
        <fgColor indexed="41"/>
        <bgColor indexed="64"/>
      </patternFill>
    </fill>
    <fill>
      <patternFill patternType="solid">
        <fgColor indexed="47"/>
        <bgColor indexed="64"/>
      </patternFill>
    </fill>
    <fill>
      <patternFill patternType="solid">
        <fgColor indexed="43"/>
        <bgColor indexed="64"/>
      </patternFill>
    </fill>
    <fill>
      <patternFill patternType="solid">
        <fgColor rgb="FFFFCC99"/>
      </patternFill>
    </fill>
    <fill>
      <patternFill patternType="solid">
        <fgColor theme="0" tint="-0.14999847407452621"/>
        <bgColor indexed="64"/>
      </patternFill>
    </fill>
    <fill>
      <patternFill patternType="solid">
        <fgColor theme="0"/>
        <bgColor indexed="64"/>
      </patternFill>
    </fill>
    <fill>
      <patternFill patternType="solid">
        <fgColor theme="0" tint="-0.249977111117893"/>
        <bgColor indexed="64"/>
      </patternFill>
    </fill>
    <fill>
      <patternFill patternType="solid">
        <fgColor theme="9" tint="0.39997558519241921"/>
        <bgColor indexed="64"/>
      </patternFill>
    </fill>
  </fills>
  <borders count="44">
    <border>
      <left/>
      <right/>
      <top/>
      <bottom/>
      <diagonal/>
    </border>
    <border>
      <left style="thin">
        <color indexed="64"/>
      </left>
      <right style="thin">
        <color indexed="64"/>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thin">
        <color indexed="21"/>
      </left>
      <right/>
      <top/>
      <bottom/>
      <diagonal/>
    </border>
    <border>
      <left/>
      <right style="thin">
        <color indexed="21"/>
      </right>
      <top/>
      <bottom/>
      <diagonal/>
    </border>
    <border>
      <left style="thin">
        <color indexed="21"/>
      </left>
      <right/>
      <top/>
      <bottom style="thick">
        <color indexed="21"/>
      </bottom>
      <diagonal/>
    </border>
    <border>
      <left/>
      <right/>
      <top/>
      <bottom style="thick">
        <color indexed="21"/>
      </bottom>
      <diagonal/>
    </border>
    <border>
      <left/>
      <right style="thin">
        <color indexed="21"/>
      </right>
      <top/>
      <bottom style="thick">
        <color indexed="21"/>
      </bottom>
      <diagonal/>
    </border>
    <border>
      <left style="thin">
        <color indexed="21"/>
      </left>
      <right/>
      <top style="thick">
        <color indexed="21"/>
      </top>
      <bottom style="thin">
        <color indexed="64"/>
      </bottom>
      <diagonal/>
    </border>
    <border>
      <left/>
      <right/>
      <top style="thick">
        <color indexed="21"/>
      </top>
      <bottom style="thin">
        <color indexed="64"/>
      </bottom>
      <diagonal/>
    </border>
    <border>
      <left/>
      <right style="thin">
        <color indexed="21"/>
      </right>
      <top style="thick">
        <color indexed="21"/>
      </top>
      <bottom style="thin">
        <color indexed="64"/>
      </bottom>
      <diagonal/>
    </border>
    <border>
      <left/>
      <right/>
      <top style="thick">
        <color indexed="21"/>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thin">
        <color indexed="64"/>
      </bottom>
      <diagonal/>
    </border>
    <border>
      <left style="thin">
        <color rgb="FF7F7F7F"/>
      </left>
      <right style="thin">
        <color rgb="FF7F7F7F"/>
      </right>
      <top style="thin">
        <color rgb="FF7F7F7F"/>
      </top>
      <bottom style="thin">
        <color rgb="FF7F7F7F"/>
      </bottom>
      <diagonal/>
    </border>
    <border>
      <left style="medium">
        <color indexed="64"/>
      </left>
      <right style="thin">
        <color rgb="FF7F7F7F"/>
      </right>
      <top style="thin">
        <color rgb="FF7F7F7F"/>
      </top>
      <bottom style="thin">
        <color rgb="FF7F7F7F"/>
      </bottom>
      <diagonal/>
    </border>
    <border>
      <left style="thin">
        <color rgb="FF7F7F7F"/>
      </left>
      <right style="medium">
        <color indexed="64"/>
      </right>
      <top style="thin">
        <color rgb="FF7F7F7F"/>
      </top>
      <bottom style="thin">
        <color rgb="FF7F7F7F"/>
      </bottom>
      <diagonal/>
    </border>
    <border>
      <left style="medium">
        <color indexed="64"/>
      </left>
      <right style="thin">
        <color rgb="FF7F7F7F"/>
      </right>
      <top style="thin">
        <color rgb="FF7F7F7F"/>
      </top>
      <bottom style="medium">
        <color indexed="64"/>
      </bottom>
      <diagonal/>
    </border>
    <border>
      <left style="thin">
        <color rgb="FF7F7F7F"/>
      </left>
      <right style="medium">
        <color indexed="64"/>
      </right>
      <top style="thin">
        <color rgb="FF7F7F7F"/>
      </top>
      <bottom style="medium">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rgb="FF7F7F7F"/>
      </right>
      <top style="thin">
        <color rgb="FF7F7F7F"/>
      </top>
      <bottom/>
      <diagonal/>
    </border>
    <border>
      <left style="thin">
        <color rgb="FF7F7F7F"/>
      </left>
      <right style="medium">
        <color indexed="64"/>
      </right>
      <top style="thin">
        <color rgb="FF7F7F7F"/>
      </top>
      <bottom/>
      <diagonal/>
    </border>
    <border>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thin">
        <color indexed="64"/>
      </bottom>
      <diagonal/>
    </border>
    <border>
      <left style="thin">
        <color indexed="64"/>
      </left>
      <right style="thin">
        <color indexed="64"/>
      </right>
      <top style="thin">
        <color indexed="64"/>
      </top>
      <bottom style="medium">
        <color indexed="64"/>
      </bottom>
      <diagonal/>
    </border>
  </borders>
  <cellStyleXfs count="3">
    <xf numFmtId="0" fontId="0" fillId="0" borderId="0"/>
    <xf numFmtId="164" fontId="2" fillId="0" borderId="0" applyFont="0" applyFill="0" applyBorder="0" applyAlignment="0" applyProtection="0"/>
    <xf numFmtId="0" fontId="10" fillId="13" borderId="27" applyNumberFormat="0" applyAlignment="0" applyProtection="0"/>
  </cellStyleXfs>
  <cellXfs count="165">
    <xf numFmtId="0" fontId="0" fillId="0" borderId="0" xfId="0"/>
    <xf numFmtId="0" fontId="0" fillId="2" borderId="1" xfId="0" applyFill="1" applyBorder="1" applyAlignment="1">
      <alignment horizontal="center" vertical="center"/>
    </xf>
    <xf numFmtId="0" fontId="0" fillId="3" borderId="2" xfId="0" applyFill="1" applyBorder="1"/>
    <xf numFmtId="0" fontId="0" fillId="3" borderId="3" xfId="0" applyFill="1" applyBorder="1"/>
    <xf numFmtId="0" fontId="0" fillId="3" borderId="4" xfId="0" applyFill="1" applyBorder="1"/>
    <xf numFmtId="0" fontId="0" fillId="3" borderId="5" xfId="0" applyFill="1" applyBorder="1"/>
    <xf numFmtId="0" fontId="0" fillId="3" borderId="0" xfId="0" applyFill="1" applyBorder="1"/>
    <xf numFmtId="0" fontId="0" fillId="3" borderId="6" xfId="0" applyFill="1" applyBorder="1"/>
    <xf numFmtId="0" fontId="0" fillId="3" borderId="7" xfId="0" applyFill="1" applyBorder="1"/>
    <xf numFmtId="0" fontId="0" fillId="3" borderId="8" xfId="0" applyFill="1" applyBorder="1"/>
    <xf numFmtId="0" fontId="0" fillId="3" borderId="9" xfId="0" applyFill="1" applyBorder="1"/>
    <xf numFmtId="0" fontId="4" fillId="3" borderId="6" xfId="0" applyFont="1" applyFill="1" applyBorder="1"/>
    <xf numFmtId="0" fontId="0" fillId="0" borderId="0" xfId="0" applyAlignment="1">
      <alignment horizontal="center"/>
    </xf>
    <xf numFmtId="0" fontId="0" fillId="0" borderId="0" xfId="0" quotePrefix="1"/>
    <xf numFmtId="0" fontId="0" fillId="0" borderId="10" xfId="0" applyBorder="1"/>
    <xf numFmtId="0" fontId="0" fillId="0" borderId="0" xfId="0" quotePrefix="1" applyAlignment="1">
      <alignment horizontal="center"/>
    </xf>
    <xf numFmtId="0" fontId="0" fillId="4" borderId="0" xfId="0" applyFill="1"/>
    <xf numFmtId="0" fontId="0" fillId="5" borderId="0" xfId="0" applyFill="1"/>
    <xf numFmtId="0" fontId="0" fillId="6" borderId="0" xfId="0" applyFill="1" applyAlignment="1">
      <alignment horizontal="center"/>
    </xf>
    <xf numFmtId="0" fontId="0" fillId="7" borderId="0" xfId="0" applyFill="1" applyAlignment="1">
      <alignment horizontal="center"/>
    </xf>
    <xf numFmtId="0" fontId="0" fillId="0" borderId="0" xfId="0" applyAlignment="1">
      <alignment vertical="center" wrapText="1"/>
    </xf>
    <xf numFmtId="0" fontId="0" fillId="0" borderId="0" xfId="0" applyAlignment="1">
      <alignment vertical="center"/>
    </xf>
    <xf numFmtId="0" fontId="0" fillId="0" borderId="0" xfId="0" applyAlignment="1">
      <alignment horizontal="right"/>
    </xf>
    <xf numFmtId="0" fontId="0" fillId="0" borderId="0" xfId="0" applyAlignment="1">
      <alignment horizontal="right" vertical="center"/>
    </xf>
    <xf numFmtId="0" fontId="5" fillId="0" borderId="0" xfId="0" applyFont="1" applyAlignment="1">
      <alignment horizontal="right" vertical="center"/>
    </xf>
    <xf numFmtId="164" fontId="1" fillId="8" borderId="11" xfId="1" applyFont="1" applyFill="1" applyBorder="1" applyAlignment="1">
      <alignment vertical="center" wrapText="1"/>
    </xf>
    <xf numFmtId="164" fontId="1" fillId="8" borderId="0" xfId="1" applyFont="1" applyFill="1" applyBorder="1" applyAlignment="1">
      <alignment vertical="center" wrapText="1"/>
    </xf>
    <xf numFmtId="164" fontId="1" fillId="8" borderId="12" xfId="1" applyFont="1" applyFill="1" applyBorder="1" applyAlignment="1">
      <alignment vertical="center" wrapText="1"/>
    </xf>
    <xf numFmtId="164" fontId="1" fillId="8" borderId="11" xfId="1" applyFont="1" applyFill="1" applyBorder="1" applyAlignment="1">
      <alignment vertical="top" wrapText="1"/>
    </xf>
    <xf numFmtId="164" fontId="1" fillId="9" borderId="11" xfId="1" applyFont="1" applyFill="1" applyBorder="1" applyAlignment="1">
      <alignment vertical="center" wrapText="1"/>
    </xf>
    <xf numFmtId="164" fontId="1" fillId="9" borderId="0" xfId="1" applyFont="1" applyFill="1" applyBorder="1" applyAlignment="1">
      <alignment vertical="center" wrapText="1"/>
    </xf>
    <xf numFmtId="164" fontId="1" fillId="9" borderId="12" xfId="1" applyFont="1" applyFill="1" applyBorder="1" applyAlignment="1">
      <alignment vertical="center" wrapText="1"/>
    </xf>
    <xf numFmtId="164" fontId="1" fillId="9" borderId="13" xfId="1" applyFont="1" applyFill="1" applyBorder="1" applyAlignment="1">
      <alignment vertical="top" wrapText="1"/>
    </xf>
    <xf numFmtId="164" fontId="1" fillId="9" borderId="14" xfId="1" applyFont="1" applyFill="1" applyBorder="1" applyAlignment="1">
      <alignment vertical="center" wrapText="1"/>
    </xf>
    <xf numFmtId="164" fontId="1" fillId="9" borderId="15" xfId="1" applyFont="1" applyFill="1" applyBorder="1" applyAlignment="1">
      <alignment vertical="center" wrapText="1"/>
    </xf>
    <xf numFmtId="164" fontId="6" fillId="9" borderId="16" xfId="1" applyFont="1" applyFill="1" applyBorder="1" applyAlignment="1">
      <alignment horizontal="center" vertical="center" wrapText="1"/>
    </xf>
    <xf numFmtId="164" fontId="6" fillId="9" borderId="17" xfId="1" applyFont="1" applyFill="1" applyBorder="1" applyAlignment="1">
      <alignment horizontal="center" vertical="center" wrapText="1"/>
    </xf>
    <xf numFmtId="164" fontId="6" fillId="9" borderId="18" xfId="1" applyFont="1" applyFill="1" applyBorder="1" applyAlignment="1">
      <alignment horizontal="center" vertical="center" wrapText="1"/>
    </xf>
    <xf numFmtId="0" fontId="1" fillId="8" borderId="11" xfId="0" applyFont="1" applyFill="1" applyBorder="1" applyAlignment="1">
      <alignment vertical="center" wrapText="1"/>
    </xf>
    <xf numFmtId="0" fontId="1" fillId="8" borderId="0" xfId="0" applyFont="1" applyFill="1" applyBorder="1" applyAlignment="1">
      <alignment vertical="center" wrapText="1"/>
    </xf>
    <xf numFmtId="0" fontId="1" fillId="8" borderId="12" xfId="0" applyFont="1" applyFill="1" applyBorder="1" applyAlignment="1">
      <alignment vertical="center" wrapText="1"/>
    </xf>
    <xf numFmtId="0" fontId="1" fillId="8" borderId="11" xfId="0" applyFont="1" applyFill="1" applyBorder="1" applyAlignment="1">
      <alignment vertical="top" wrapText="1"/>
    </xf>
    <xf numFmtId="0" fontId="1" fillId="9" borderId="11" xfId="0" applyFont="1" applyFill="1" applyBorder="1" applyAlignment="1">
      <alignment vertical="center" wrapText="1"/>
    </xf>
    <xf numFmtId="0" fontId="1" fillId="9" borderId="0" xfId="0" applyFont="1" applyFill="1" applyBorder="1" applyAlignment="1">
      <alignment vertical="center" wrapText="1"/>
    </xf>
    <xf numFmtId="0" fontId="1" fillId="9" borderId="12" xfId="0" applyFont="1" applyFill="1" applyBorder="1" applyAlignment="1">
      <alignment vertical="center" wrapText="1"/>
    </xf>
    <xf numFmtId="0" fontId="1" fillId="9" borderId="13" xfId="0" applyFont="1" applyFill="1" applyBorder="1" applyAlignment="1">
      <alignment vertical="top" wrapText="1"/>
    </xf>
    <xf numFmtId="0" fontId="1" fillId="9" borderId="14" xfId="0" applyFont="1" applyFill="1" applyBorder="1" applyAlignment="1">
      <alignment vertical="center" wrapText="1"/>
    </xf>
    <xf numFmtId="0" fontId="1" fillId="9" borderId="15" xfId="0" applyFont="1" applyFill="1" applyBorder="1" applyAlignment="1">
      <alignment vertical="center" wrapText="1"/>
    </xf>
    <xf numFmtId="0" fontId="6" fillId="9" borderId="16" xfId="0" applyFont="1" applyFill="1" applyBorder="1" applyAlignment="1">
      <alignment horizontal="center" vertical="center" wrapText="1"/>
    </xf>
    <xf numFmtId="0" fontId="6" fillId="9" borderId="17" xfId="0" applyFont="1" applyFill="1" applyBorder="1" applyAlignment="1">
      <alignment horizontal="center" vertical="center" wrapText="1"/>
    </xf>
    <xf numFmtId="0" fontId="6" fillId="9" borderId="18" xfId="0" applyFont="1" applyFill="1" applyBorder="1" applyAlignment="1">
      <alignment horizontal="center" vertical="center" wrapText="1"/>
    </xf>
    <xf numFmtId="0" fontId="0" fillId="0" borderId="19" xfId="0" applyBorder="1" applyAlignment="1"/>
    <xf numFmtId="0" fontId="0" fillId="0" borderId="0" xfId="0" applyAlignment="1"/>
    <xf numFmtId="0" fontId="0" fillId="2" borderId="20" xfId="0" quotePrefix="1" applyFill="1" applyBorder="1" applyAlignment="1">
      <alignment horizontal="left"/>
    </xf>
    <xf numFmtId="0" fontId="0" fillId="2" borderId="21" xfId="0" quotePrefix="1" applyFill="1" applyBorder="1" applyAlignment="1">
      <alignment horizontal="left"/>
    </xf>
    <xf numFmtId="0" fontId="0" fillId="2" borderId="22" xfId="0" quotePrefix="1" applyFill="1" applyBorder="1" applyAlignment="1">
      <alignment horizontal="left"/>
    </xf>
    <xf numFmtId="0" fontId="0" fillId="0" borderId="0" xfId="0" applyAlignment="1">
      <alignment horizontal="left"/>
    </xf>
    <xf numFmtId="0" fontId="0" fillId="14" borderId="3" xfId="0" applyFill="1" applyBorder="1"/>
    <xf numFmtId="0" fontId="0" fillId="14" borderId="4" xfId="0" applyFill="1" applyBorder="1"/>
    <xf numFmtId="0" fontId="0" fillId="14" borderId="5" xfId="0" applyFill="1" applyBorder="1"/>
    <xf numFmtId="0" fontId="0" fillId="14" borderId="0" xfId="0" applyFill="1" applyBorder="1"/>
    <xf numFmtId="0" fontId="0" fillId="14" borderId="6" xfId="0" applyFill="1" applyBorder="1"/>
    <xf numFmtId="0" fontId="0" fillId="14" borderId="7" xfId="0" applyFill="1" applyBorder="1"/>
    <xf numFmtId="0" fontId="0" fillId="14" borderId="8" xfId="0" applyFill="1" applyBorder="1"/>
    <xf numFmtId="0" fontId="0" fillId="14" borderId="9" xfId="0" applyFill="1" applyBorder="1"/>
    <xf numFmtId="0" fontId="13" fillId="13" borderId="28" xfId="2" applyFont="1" applyBorder="1" applyAlignment="1">
      <alignment horizontal="center" vertical="center"/>
    </xf>
    <xf numFmtId="0" fontId="10" fillId="13" borderId="28" xfId="2" applyBorder="1" applyAlignment="1">
      <alignment horizontal="center" vertical="center"/>
    </xf>
    <xf numFmtId="0" fontId="13" fillId="13" borderId="30" xfId="2" applyFont="1" applyBorder="1" applyAlignment="1">
      <alignment horizontal="center" vertical="center"/>
    </xf>
    <xf numFmtId="0" fontId="0" fillId="0" borderId="35" xfId="0" applyBorder="1" applyAlignment="1">
      <alignment horizontal="center" vertical="center"/>
    </xf>
    <xf numFmtId="0" fontId="0" fillId="0" borderId="34" xfId="0" applyBorder="1" applyAlignment="1">
      <alignment horizontal="center" vertical="center"/>
    </xf>
    <xf numFmtId="0" fontId="0" fillId="0" borderId="36" xfId="0" applyBorder="1" applyAlignment="1">
      <alignment horizontal="center" vertical="center"/>
    </xf>
    <xf numFmtId="0" fontId="0" fillId="0" borderId="37" xfId="0" applyBorder="1" applyAlignment="1">
      <alignment horizontal="center" vertical="center"/>
    </xf>
    <xf numFmtId="0" fontId="13" fillId="13" borderId="38" xfId="2" applyFont="1" applyBorder="1" applyAlignment="1">
      <alignment horizontal="center" vertical="center"/>
    </xf>
    <xf numFmtId="0" fontId="0" fillId="14" borderId="40" xfId="0" applyFill="1" applyBorder="1"/>
    <xf numFmtId="0" fontId="0" fillId="14" borderId="25" xfId="0" applyFill="1" applyBorder="1"/>
    <xf numFmtId="0" fontId="0" fillId="14" borderId="24" xfId="0" applyFill="1" applyBorder="1"/>
    <xf numFmtId="0" fontId="11" fillId="14" borderId="24" xfId="0" applyFont="1" applyFill="1" applyBorder="1" applyAlignment="1">
      <alignment horizontal="left" vertical="center"/>
    </xf>
    <xf numFmtId="0" fontId="0" fillId="0" borderId="0" xfId="0" applyFill="1" applyBorder="1"/>
    <xf numFmtId="0" fontId="0" fillId="0" borderId="0" xfId="0" applyAlignment="1">
      <alignment horizontal="center" vertical="center"/>
    </xf>
    <xf numFmtId="0" fontId="14" fillId="14" borderId="25" xfId="0" applyFont="1" applyFill="1" applyBorder="1" applyAlignment="1">
      <alignment horizontal="right" vertical="center"/>
    </xf>
    <xf numFmtId="0" fontId="0" fillId="0" borderId="0" xfId="0" applyAlignment="1">
      <alignment horizontal="left" vertical="center"/>
    </xf>
    <xf numFmtId="0" fontId="15" fillId="0" borderId="0" xfId="0" applyFont="1" applyAlignment="1">
      <alignment horizontal="center" vertical="center"/>
    </xf>
    <xf numFmtId="0" fontId="15" fillId="0" borderId="41" xfId="0" applyFont="1" applyBorder="1" applyAlignment="1">
      <alignment horizontal="center" vertical="center"/>
    </xf>
    <xf numFmtId="0" fontId="11" fillId="14" borderId="2" xfId="0" applyFont="1" applyFill="1" applyBorder="1" applyAlignment="1">
      <alignment vertical="center"/>
    </xf>
    <xf numFmtId="0" fontId="0" fillId="14" borderId="3" xfId="0" applyFill="1" applyBorder="1" applyAlignment="1">
      <alignment vertical="center"/>
    </xf>
    <xf numFmtId="0" fontId="0" fillId="14" borderId="4" xfId="0" applyFill="1" applyBorder="1" applyAlignment="1">
      <alignment vertical="center"/>
    </xf>
    <xf numFmtId="0" fontId="0" fillId="14" borderId="7" xfId="0" applyFill="1" applyBorder="1" applyAlignment="1">
      <alignment vertical="center"/>
    </xf>
    <xf numFmtId="0" fontId="0" fillId="14" borderId="8" xfId="0" applyFill="1" applyBorder="1" applyAlignment="1">
      <alignment horizontal="right" vertical="center"/>
    </xf>
    <xf numFmtId="0" fontId="0" fillId="14" borderId="9" xfId="0" applyFill="1" applyBorder="1" applyAlignment="1">
      <alignment vertical="center"/>
    </xf>
    <xf numFmtId="0" fontId="11" fillId="14" borderId="5" xfId="0" applyFont="1" applyFill="1" applyBorder="1" applyAlignment="1">
      <alignment vertical="center"/>
    </xf>
    <xf numFmtId="0" fontId="0" fillId="14" borderId="0" xfId="0" applyFill="1" applyBorder="1" applyAlignment="1">
      <alignment vertical="center"/>
    </xf>
    <xf numFmtId="0" fontId="0" fillId="14" borderId="6" xfId="0" applyFill="1" applyBorder="1" applyAlignment="1">
      <alignment vertical="center"/>
    </xf>
    <xf numFmtId="0" fontId="0" fillId="14" borderId="5" xfId="0" applyFill="1" applyBorder="1" applyAlignment="1">
      <alignment vertical="center"/>
    </xf>
    <xf numFmtId="0" fontId="0" fillId="14" borderId="8" xfId="0" applyFill="1" applyBorder="1" applyAlignment="1">
      <alignment vertical="center"/>
    </xf>
    <xf numFmtId="0" fontId="0" fillId="0" borderId="0" xfId="0" applyFill="1" applyBorder="1" applyAlignment="1">
      <alignment vertical="center"/>
    </xf>
    <xf numFmtId="0" fontId="0" fillId="14" borderId="9" xfId="0" applyFill="1" applyBorder="1" applyAlignment="1">
      <alignment horizontal="left" vertical="center"/>
    </xf>
    <xf numFmtId="0" fontId="0" fillId="14" borderId="2" xfId="0" applyFill="1" applyBorder="1"/>
    <xf numFmtId="0" fontId="0" fillId="15" borderId="0" xfId="0" applyFill="1" applyBorder="1"/>
    <xf numFmtId="0" fontId="0" fillId="15" borderId="6" xfId="0" applyFill="1" applyBorder="1"/>
    <xf numFmtId="0" fontId="0" fillId="15" borderId="8" xfId="0" applyFill="1" applyBorder="1"/>
    <xf numFmtId="0" fontId="11" fillId="14" borderId="3" xfId="0" applyFont="1" applyFill="1" applyBorder="1" applyAlignment="1">
      <alignment horizontal="center" vertical="center"/>
    </xf>
    <xf numFmtId="0" fontId="11" fillId="14" borderId="4" xfId="0" applyFont="1" applyFill="1" applyBorder="1" applyAlignment="1">
      <alignment horizontal="center" vertical="center"/>
    </xf>
    <xf numFmtId="0" fontId="15" fillId="14" borderId="5" xfId="0" applyFont="1" applyFill="1" applyBorder="1" applyAlignment="1">
      <alignment horizontal="right" vertical="center"/>
    </xf>
    <xf numFmtId="0" fontId="15" fillId="14" borderId="7" xfId="0" applyFont="1" applyFill="1" applyBorder="1" applyAlignment="1">
      <alignment horizontal="right" vertical="center"/>
    </xf>
    <xf numFmtId="0" fontId="0" fillId="16" borderId="2" xfId="0" applyFill="1" applyBorder="1"/>
    <xf numFmtId="0" fontId="0" fillId="16" borderId="3" xfId="0" applyFill="1" applyBorder="1"/>
    <xf numFmtId="0" fontId="0" fillId="16" borderId="4" xfId="0" applyFill="1" applyBorder="1"/>
    <xf numFmtId="0" fontId="0" fillId="16" borderId="5" xfId="0" applyFill="1" applyBorder="1"/>
    <xf numFmtId="0" fontId="0" fillId="16" borderId="0" xfId="0" applyFill="1" applyBorder="1"/>
    <xf numFmtId="0" fontId="0" fillId="16" borderId="6" xfId="0" applyFill="1" applyBorder="1"/>
    <xf numFmtId="0" fontId="0" fillId="16" borderId="7" xfId="0" applyFill="1" applyBorder="1"/>
    <xf numFmtId="0" fontId="0" fillId="16" borderId="8" xfId="0" applyFill="1" applyBorder="1"/>
    <xf numFmtId="0" fontId="0" fillId="16" borderId="9" xfId="0" applyFill="1" applyBorder="1"/>
    <xf numFmtId="0" fontId="10" fillId="14" borderId="29" xfId="2" applyFill="1" applyBorder="1" applyAlignment="1">
      <alignment vertical="center"/>
    </xf>
    <xf numFmtId="0" fontId="10" fillId="14" borderId="39" xfId="2" applyFill="1" applyBorder="1" applyAlignment="1">
      <alignment vertical="center"/>
    </xf>
    <xf numFmtId="0" fontId="10" fillId="14" borderId="31" xfId="2" applyFill="1" applyBorder="1" applyAlignment="1">
      <alignment vertical="center"/>
    </xf>
    <xf numFmtId="0" fontId="0" fillId="17" borderId="10" xfId="0" applyFill="1" applyBorder="1"/>
    <xf numFmtId="0" fontId="11" fillId="14" borderId="32" xfId="0" applyFont="1" applyFill="1" applyBorder="1"/>
    <xf numFmtId="0" fontId="0" fillId="14" borderId="42" xfId="0" applyFill="1" applyBorder="1"/>
    <xf numFmtId="0" fontId="0" fillId="14" borderId="33" xfId="0" applyFill="1" applyBorder="1"/>
    <xf numFmtId="0" fontId="0" fillId="14" borderId="34" xfId="0" applyFill="1" applyBorder="1"/>
    <xf numFmtId="0" fontId="0" fillId="14" borderId="35" xfId="0" quotePrefix="1" applyFill="1" applyBorder="1"/>
    <xf numFmtId="0" fontId="0" fillId="14" borderId="35" xfId="0" applyFill="1" applyBorder="1"/>
    <xf numFmtId="0" fontId="0" fillId="14" borderId="36" xfId="0" applyFill="1" applyBorder="1"/>
    <xf numFmtId="0" fontId="0" fillId="17" borderId="43" xfId="0" applyFill="1" applyBorder="1"/>
    <xf numFmtId="0" fontId="0" fillId="14" borderId="37" xfId="0" applyFill="1" applyBorder="1"/>
    <xf numFmtId="0" fontId="0" fillId="15" borderId="9" xfId="0" applyFill="1" applyBorder="1" applyAlignment="1">
      <alignment horizontal="center" vertical="center"/>
    </xf>
    <xf numFmtId="0" fontId="0" fillId="2" borderId="20" xfId="0" quotePrefix="1" applyFill="1" applyBorder="1" applyAlignment="1">
      <alignment horizontal="left"/>
    </xf>
    <xf numFmtId="0" fontId="0" fillId="2" borderId="21" xfId="0" quotePrefix="1" applyFill="1" applyBorder="1" applyAlignment="1">
      <alignment horizontal="left"/>
    </xf>
    <xf numFmtId="0" fontId="0" fillId="2" borderId="22" xfId="0" quotePrefix="1" applyFill="1" applyBorder="1" applyAlignment="1">
      <alignment horizontal="left"/>
    </xf>
    <xf numFmtId="0" fontId="0" fillId="3" borderId="3" xfId="0" applyFill="1" applyBorder="1" applyAlignment="1">
      <alignment horizontal="center"/>
    </xf>
    <xf numFmtId="0" fontId="0" fillId="3" borderId="0" xfId="0" applyFill="1" applyBorder="1" applyAlignment="1">
      <alignment horizontal="center"/>
    </xf>
    <xf numFmtId="0" fontId="0" fillId="3" borderId="26" xfId="0" applyFill="1" applyBorder="1" applyAlignment="1">
      <alignment horizontal="center"/>
    </xf>
    <xf numFmtId="0" fontId="0" fillId="2" borderId="23" xfId="0" applyFill="1" applyBorder="1" applyAlignment="1" applyProtection="1">
      <alignment horizontal="left" vertical="center" wrapText="1"/>
      <protection locked="0"/>
    </xf>
    <xf numFmtId="0" fontId="0" fillId="2" borderId="0" xfId="0" applyFill="1" applyBorder="1" applyAlignment="1" applyProtection="1">
      <alignment horizontal="left" vertical="center" wrapText="1"/>
      <protection locked="0"/>
    </xf>
    <xf numFmtId="0" fontId="0" fillId="3" borderId="2" xfId="0" applyFill="1" applyBorder="1" applyAlignment="1">
      <alignment horizontal="center"/>
    </xf>
    <xf numFmtId="0" fontId="0" fillId="3" borderId="4" xfId="0" applyFill="1" applyBorder="1" applyAlignment="1">
      <alignment horizontal="center"/>
    </xf>
    <xf numFmtId="0" fontId="0" fillId="3" borderId="5" xfId="0" applyFill="1" applyBorder="1" applyAlignment="1">
      <alignment horizontal="center"/>
    </xf>
    <xf numFmtId="0" fontId="0" fillId="3" borderId="6" xfId="0" applyFill="1" applyBorder="1" applyAlignment="1">
      <alignment horizontal="center"/>
    </xf>
    <xf numFmtId="0" fontId="0" fillId="3" borderId="7" xfId="0" applyFill="1" applyBorder="1" applyAlignment="1">
      <alignment horizontal="center"/>
    </xf>
    <xf numFmtId="0" fontId="0" fillId="3" borderId="8" xfId="0" applyFill="1" applyBorder="1" applyAlignment="1">
      <alignment horizontal="center"/>
    </xf>
    <xf numFmtId="0" fontId="0" fillId="3" borderId="9" xfId="0" applyFill="1" applyBorder="1" applyAlignment="1">
      <alignment horizontal="center"/>
    </xf>
    <xf numFmtId="0" fontId="0" fillId="3" borderId="24" xfId="0" applyFill="1" applyBorder="1" applyAlignment="1">
      <alignment horizontal="center" vertical="center"/>
    </xf>
    <xf numFmtId="0" fontId="0" fillId="3" borderId="25" xfId="0" applyFill="1" applyBorder="1" applyAlignment="1">
      <alignment horizontal="center" vertical="center"/>
    </xf>
    <xf numFmtId="0" fontId="15" fillId="0" borderId="24" xfId="0" applyFont="1" applyBorder="1" applyAlignment="1">
      <alignment horizontal="center" vertical="center"/>
    </xf>
    <xf numFmtId="0" fontId="15" fillId="0" borderId="25" xfId="0" applyFont="1" applyBorder="1" applyAlignment="1">
      <alignment horizontal="center" vertical="center"/>
    </xf>
    <xf numFmtId="0" fontId="11" fillId="14" borderId="32" xfId="0" applyFont="1" applyFill="1" applyBorder="1" applyAlignment="1">
      <alignment horizontal="center" vertical="center"/>
    </xf>
    <xf numFmtId="0" fontId="11" fillId="14" borderId="33" xfId="0" applyFont="1" applyFill="1" applyBorder="1" applyAlignment="1">
      <alignment horizontal="center" vertical="center"/>
    </xf>
    <xf numFmtId="0" fontId="16" fillId="16" borderId="5" xfId="0" applyFont="1" applyFill="1" applyBorder="1" applyAlignment="1">
      <alignment horizontal="center" vertical="center"/>
    </xf>
    <xf numFmtId="0" fontId="16" fillId="16" borderId="0" xfId="0" applyFont="1" applyFill="1" applyBorder="1" applyAlignment="1">
      <alignment horizontal="center" vertical="center"/>
    </xf>
    <xf numFmtId="0" fontId="16" fillId="16" borderId="6" xfId="0" applyFont="1" applyFill="1" applyBorder="1" applyAlignment="1">
      <alignment horizontal="center" vertical="center"/>
    </xf>
    <xf numFmtId="0" fontId="12" fillId="14" borderId="32" xfId="2" applyFont="1" applyFill="1" applyBorder="1" applyAlignment="1">
      <alignment horizontal="center" vertical="center"/>
    </xf>
    <xf numFmtId="0" fontId="12" fillId="14" borderId="33" xfId="2" applyFont="1" applyFill="1" applyBorder="1" applyAlignment="1">
      <alignment horizontal="center" vertical="center"/>
    </xf>
    <xf numFmtId="0" fontId="12" fillId="14" borderId="32" xfId="2" applyFont="1" applyFill="1" applyBorder="1" applyAlignment="1">
      <alignment horizontal="center"/>
    </xf>
    <xf numFmtId="0" fontId="12" fillId="14" borderId="33" xfId="2" applyFont="1" applyFill="1" applyBorder="1" applyAlignment="1">
      <alignment horizontal="center"/>
    </xf>
    <xf numFmtId="0" fontId="0" fillId="12" borderId="0" xfId="0" applyFill="1" applyAlignment="1">
      <alignment horizontal="center"/>
    </xf>
    <xf numFmtId="0" fontId="0" fillId="0" borderId="0" xfId="0" applyAlignment="1">
      <alignment horizontal="center" vertical="center" wrapText="1"/>
    </xf>
    <xf numFmtId="0" fontId="0" fillId="11" borderId="0" xfId="0" quotePrefix="1" applyFill="1" applyAlignment="1">
      <alignment horizontal="center"/>
    </xf>
    <xf numFmtId="0" fontId="0" fillId="10" borderId="0" xfId="0" quotePrefix="1" applyFill="1" applyAlignment="1">
      <alignment horizontal="center"/>
    </xf>
    <xf numFmtId="0" fontId="0" fillId="10" borderId="0" xfId="0" quotePrefix="1" applyFill="1" applyBorder="1" applyAlignment="1">
      <alignment horizontal="center"/>
    </xf>
    <xf numFmtId="0" fontId="0" fillId="12" borderId="0" xfId="0" quotePrefix="1" applyFill="1" applyAlignment="1">
      <alignment horizontal="center"/>
    </xf>
    <xf numFmtId="0" fontId="0" fillId="10" borderId="0" xfId="0" applyFill="1" applyAlignment="1">
      <alignment horizontal="center"/>
    </xf>
    <xf numFmtId="0" fontId="0" fillId="2" borderId="0" xfId="0" quotePrefix="1" applyFill="1" applyAlignment="1">
      <alignment horizontal="center"/>
    </xf>
    <xf numFmtId="0" fontId="0" fillId="11" borderId="0" xfId="0" applyFill="1" applyBorder="1" applyAlignment="1">
      <alignment horizontal="center"/>
    </xf>
    <xf numFmtId="0" fontId="0" fillId="2" borderId="0" xfId="0" applyFill="1" applyAlignment="1">
      <alignment horizontal="center"/>
    </xf>
  </cellXfs>
  <cellStyles count="3">
    <cellStyle name="Currency" xfId="1" builtinId="4"/>
    <cellStyle name="Input" xfId="2" builtinId="20"/>
    <cellStyle name="Normal" xfId="0" builtinId="0"/>
  </cellStyles>
  <dxfs count="30">
    <dxf>
      <alignment horizontal="general" vertical="center" textRotation="0" indent="0" justifyLastLine="0" shrinkToFit="0" readingOrder="0"/>
    </dxf>
    <dxf>
      <alignment horizontal="general" vertical="center" textRotation="0" wrapText="1" indent="0" justifyLastLine="0" shrinkToFit="0" readingOrder="0"/>
    </dxf>
    <dxf>
      <alignment horizontal="general" vertical="center" textRotation="0" indent="0" justifyLastLine="0" shrinkToFit="0" readingOrder="0"/>
    </dxf>
    <dxf>
      <alignment horizontal="general" vertical="center" textRotation="0" indent="0" justifyLastLine="0" shrinkToFit="0" readingOrder="0"/>
    </dxf>
    <dxf>
      <alignment horizontal="general" vertical="center" textRotation="0" indent="0" justifyLastLine="0" shrinkToFit="0" readingOrder="0"/>
    </dxf>
    <dxf>
      <alignment horizontal="right" vertical="center" textRotation="0" wrapText="0" indent="0" justifyLastLine="0" shrinkToFit="0" readingOrder="0"/>
    </dxf>
    <dxf>
      <alignment horizontal="general" vertical="center" textRotation="0" indent="0" justifyLastLine="0" shrinkToFit="0" readingOrder="0"/>
    </dxf>
    <dxf>
      <fill>
        <patternFill patternType="solid">
          <fgColor indexed="64"/>
          <bgColor indexed="42"/>
        </patternFill>
      </fill>
      <border diagonalUp="0" diagonalDown="0" outline="0">
        <left/>
        <right/>
        <top style="thin">
          <color indexed="64"/>
        </top>
        <bottom style="thin">
          <color indexed="64"/>
        </bottom>
      </border>
    </dxf>
    <dxf>
      <fill>
        <patternFill patternType="solid">
          <fgColor indexed="64"/>
          <bgColor indexed="42"/>
        </patternFill>
      </fill>
      <alignment horizontal="right" vertical="bottom" textRotation="0" wrapText="0" indent="0" justifyLastLine="0" shrinkToFit="0" readingOrder="0"/>
      <border diagonalUp="0" diagonalDown="0" outline="0">
        <left/>
        <right style="thin">
          <color indexed="64"/>
        </right>
        <top style="thin">
          <color indexed="64"/>
        </top>
        <bottom style="thin">
          <color indexed="64"/>
        </bottom>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top" textRotation="0" wrapText="1" indent="0" justifyLastLine="0" shrinkToFit="0" readingOrder="0"/>
    </dxf>
    <dxf>
      <alignment vertical="top"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top" textRotation="0" wrapText="1" indent="0" justifyLastLine="0" shrinkToFit="0" readingOrder="0"/>
    </dxf>
    <dxf>
      <alignment vertical="top" textRotation="0" wrapText="1" indent="0" justifyLastLine="0" shrinkToFit="0" readingOrder="0"/>
    </dxf>
    <dxf>
      <alignment horizontal="center" vertical="center" textRotation="0" wrapText="1" indent="0" justifyLastLine="0" shrinkToFit="0" readingOrder="0"/>
    </dxf>
    <dxf>
      <fill>
        <patternFill>
          <bgColor indexed="12"/>
        </patternFill>
      </fill>
    </dxf>
    <dxf>
      <fill>
        <patternFill>
          <bgColor indexed="12"/>
        </patternFill>
      </fill>
    </dxf>
  </dxfs>
  <tableStyles count="0" defaultTableStyle="TableStyleMedium2" defaultPivotStyle="PivotStyleLight16"/>
  <colors>
    <mruColors>
      <color rgb="FFFFFF1E"/>
      <color rgb="FFFF1EFF"/>
      <color rgb="FFFF1E1E"/>
      <color rgb="FF1EFFFF"/>
      <color rgb="FF1EFF1E"/>
      <color rgb="FF1E1EFF"/>
      <color rgb="FF000080"/>
      <color rgb="FF0000FF"/>
      <color rgb="FF00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8BD21D40-EC42-11CE-9E0D-00AA006002F3}" ax:persistence="persistStreamInit" r:id="rId1"/>
</file>

<file path=xl/activeX/activeX15.xml><?xml version="1.0" encoding="utf-8"?>
<ax:ocx xmlns:ax="http://schemas.microsoft.com/office/2006/activeX" xmlns:r="http://schemas.openxmlformats.org/officeDocument/2006/relationships" ax:classid="{8BD21D10-EC42-11CE-9E0D-00AA006002F3}" ax:persistence="persistStreamInit" r:id="rId1"/>
</file>

<file path=xl/activeX/activeX16.xml><?xml version="1.0" encoding="utf-8"?>
<ax:ocx xmlns:ax="http://schemas.microsoft.com/office/2006/activeX" xmlns:r="http://schemas.openxmlformats.org/officeDocument/2006/relationships" ax:classid="{8BD21D40-EC42-11CE-9E0D-00AA006002F3}" ax:persistence="persistStreamInit" r:id="rId1"/>
</file>

<file path=xl/activeX/activeX17.xml><?xml version="1.0" encoding="utf-8"?>
<ax:ocx xmlns:ax="http://schemas.microsoft.com/office/2006/activeX" xmlns:r="http://schemas.openxmlformats.org/officeDocument/2006/relationships" ax:classid="{8BD21D40-EC42-11CE-9E0D-00AA006002F3}" ax:persistence="persistStreamInit" r:id="rId1"/>
</file>

<file path=xl/activeX/activeX18.xml><?xml version="1.0" encoding="utf-8"?>
<ax:ocx xmlns:ax="http://schemas.microsoft.com/office/2006/activeX" xmlns:r="http://schemas.openxmlformats.org/officeDocument/2006/relationships" ax:classid="{8BD21D40-EC42-11CE-9E0D-00AA006002F3}"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8BD21D40-EC42-11CE-9E0D-00AA006002F3}" ax:persistence="persistStreamInit" r:id="rId1"/>
</file>

<file path=xl/activeX/activeX31.xml><?xml version="1.0" encoding="utf-8"?>
<ax:ocx xmlns:ax="http://schemas.microsoft.com/office/2006/activeX" xmlns:r="http://schemas.openxmlformats.org/officeDocument/2006/relationships" ax:classid="{8BD21D30-EC42-11CE-9E0D-00AA006002F3}"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8BD21D40-EC42-11CE-9E0D-00AA006002F3}" ax:persistence="persistStreamInit" r:id="rId1"/>
</file>

<file path=xl/activeX/activeX35.xml><?xml version="1.0" encoding="utf-8"?>
<ax:ocx xmlns:ax="http://schemas.microsoft.com/office/2006/activeX" xmlns:r="http://schemas.openxmlformats.org/officeDocument/2006/relationships" ax:classid="{8BD21D40-EC42-11CE-9E0D-00AA006002F3}"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8BD21D30-EC42-11CE-9E0D-00AA006002F3}" ax:persistence="persistStreamInit" r:id="rId1"/>
</file>

<file path=xl/activeX/activeX39.xml><?xml version="1.0" encoding="utf-8"?>
<ax:ocx xmlns:ax="http://schemas.microsoft.com/office/2006/activeX" xmlns:r="http://schemas.openxmlformats.org/officeDocument/2006/relationships" ax:classid="{8BD21D30-EC42-11CE-9E0D-00AA006002F3}" ax:persistence="persistStreamInit" r:id="rId1"/>
</file>

<file path=xl/activeX/activeX40.xml><?xml version="1.0" encoding="utf-8"?>
<ax:ocx xmlns:ax="http://schemas.microsoft.com/office/2006/activeX" xmlns:r="http://schemas.openxmlformats.org/officeDocument/2006/relationships" ax:classid="{8BD21D30-EC42-11CE-9E0D-00AA006002F3}" ax:persistence="persistStreamInit" r:id="rId1"/>
</file>

<file path=xl/activeX/activeX41.xml><?xml version="1.0" encoding="utf-8"?>
<ax:ocx xmlns:ax="http://schemas.microsoft.com/office/2006/activeX" xmlns:r="http://schemas.openxmlformats.org/officeDocument/2006/relationships" ax:classid="{8BD21D30-EC42-11CE-9E0D-00AA006002F3}"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8BD21D30-EC42-11CE-9E0D-00AA006002F3}" ax:persistence="persistStreamInit" r:id="rId1"/>
</file>

<file path=xl/activeX/activeX48.xml><?xml version="1.0" encoding="utf-8"?>
<ax:ocx xmlns:ax="http://schemas.microsoft.com/office/2006/activeX" xmlns:r="http://schemas.openxmlformats.org/officeDocument/2006/relationships" ax:classid="{8BD21D30-EC42-11CE-9E0D-00AA006002F3}"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8BD21D40-EC42-11CE-9E0D-00AA006002F3}" ax:persistence="persistStreamInit" r:id="rId1"/>
</file>

<file path=xl/activeX/activeX56.xml><?xml version="1.0" encoding="utf-8"?>
<ax:ocx xmlns:ax="http://schemas.microsoft.com/office/2006/activeX" xmlns:r="http://schemas.openxmlformats.org/officeDocument/2006/relationships" ax:classid="{8BD21D40-EC42-11CE-9E0D-00AA006002F3}"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8BD21D10-EC42-11CE-9E0D-00AA006002F3}" ax:persistence="persistStreamInit" r:id="rId1"/>
</file>

<file path=xl/activeX/activeX60.xml><?xml version="1.0" encoding="utf-8"?>
<ax:ocx xmlns:ax="http://schemas.microsoft.com/office/2006/activeX" xmlns:r="http://schemas.openxmlformats.org/officeDocument/2006/relationships" ax:classid="{8BD21D10-EC42-11CE-9E0D-00AA006002F3}"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activeX/activeX62.xml><?xml version="1.0" encoding="utf-8"?>
<ax:ocx xmlns:ax="http://schemas.microsoft.com/office/2006/activeX" xmlns:r="http://schemas.openxmlformats.org/officeDocument/2006/relationships" ax:classid="{D7053240-CE69-11CD-A777-00DD01143C57}" ax:persistence="persistStreamInit" r:id="rId1"/>
</file>

<file path=xl/activeX/activeX63.xml><?xml version="1.0" encoding="utf-8"?>
<ax:ocx xmlns:ax="http://schemas.microsoft.com/office/2006/activeX" xmlns:r="http://schemas.openxmlformats.org/officeDocument/2006/relationships" ax:classid="{D7053240-CE69-11CD-A777-00DD01143C57}" ax:persistence="persistStreamInit" r:id="rId1"/>
</file>

<file path=xl/activeX/activeX64.xml><?xml version="1.0" encoding="utf-8"?>
<ax:ocx xmlns:ax="http://schemas.microsoft.com/office/2006/activeX" xmlns:r="http://schemas.openxmlformats.org/officeDocument/2006/relationships" ax:classid="{D7053240-CE69-11CD-A777-00DD01143C57}" ax:persistence="persistStreamInit" r:id="rId1"/>
</file>

<file path=xl/activeX/activeX65.xml><?xml version="1.0" encoding="utf-8"?>
<ax:ocx xmlns:ax="http://schemas.microsoft.com/office/2006/activeX" xmlns:r="http://schemas.openxmlformats.org/officeDocument/2006/relationships" ax:classid="{D7053240-CE69-11CD-A777-00DD01143C57}" ax:persistence="persistStreamInit" r:id="rId1"/>
</file>

<file path=xl/activeX/activeX66.xml><?xml version="1.0" encoding="utf-8"?>
<ax:ocx xmlns:ax="http://schemas.microsoft.com/office/2006/activeX" xmlns:r="http://schemas.openxmlformats.org/officeDocument/2006/relationships" ax:classid="{D7053240-CE69-11CD-A777-00DD01143C57}" ax:persistence="persistStreamInit" r:id="rId1"/>
</file>

<file path=xl/activeX/activeX67.xml><?xml version="1.0" encoding="utf-8"?>
<ax:ocx xmlns:ax="http://schemas.microsoft.com/office/2006/activeX" xmlns:r="http://schemas.openxmlformats.org/officeDocument/2006/relationships" ax:classid="{D7053240-CE69-11CD-A777-00DD01143C57}" ax:persistence="persistStreamInit" r:id="rId1"/>
</file>

<file path=xl/activeX/activeX68.xml><?xml version="1.0" encoding="utf-8"?>
<ax:ocx xmlns:ax="http://schemas.microsoft.com/office/2006/activeX" xmlns:r="http://schemas.openxmlformats.org/officeDocument/2006/relationships" ax:classid="{D7053240-CE69-11CD-A777-00DD01143C57}" ax:persistence="persistStreamInit" r:id="rId1"/>
</file>

<file path=xl/activeX/activeX69.xml><?xml version="1.0" encoding="utf-8"?>
<ax:ocx xmlns:ax="http://schemas.microsoft.com/office/2006/activeX" xmlns:r="http://schemas.openxmlformats.org/officeDocument/2006/relationships" ax:classid="{8BD21D30-EC42-11CE-9E0D-00AA006002F3}" ax:persistence="persistStreamInit" r:id="rId1"/>
</file>

<file path=xl/activeX/activeX70.xml><?xml version="1.0" encoding="utf-8"?>
<ax:ocx xmlns:ax="http://schemas.microsoft.com/office/2006/activeX" xmlns:r="http://schemas.openxmlformats.org/officeDocument/2006/relationships" ax:classid="{8BD21D30-EC42-11CE-9E0D-00AA006002F3}" ax:persistence="persistStreamInit" r:id="rId1"/>
</file>

<file path=xl/activeX/activeX71.xml><?xml version="1.0" encoding="utf-8"?>
<ax:ocx xmlns:ax="http://schemas.microsoft.com/office/2006/activeX" xmlns:r="http://schemas.openxmlformats.org/officeDocument/2006/relationships" ax:classid="{8BD21D30-EC42-11CE-9E0D-00AA006002F3}" ax:persistence="persistStreamInit" r:id="rId1"/>
</file>

<file path=xl/activeX/activeX72.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Label" lockText="1"/>
</file>

<file path=xl/ctrlProps/ctrlProp2.xml><?xml version="1.0" encoding="utf-8"?>
<formControlPr xmlns="http://schemas.microsoft.com/office/spreadsheetml/2009/9/main" objectType="Label" lockText="1"/>
</file>

<file path=xl/drawings/_rels/vmlDrawing1.vml.rels><?xml version="1.0" encoding="UTF-8" standalone="yes"?>
<Relationships xmlns="http://schemas.openxmlformats.org/package/2006/relationships"><Relationship Id="rId8" Type="http://schemas.openxmlformats.org/officeDocument/2006/relationships/image" Target="../media/image17.emf"/><Relationship Id="rId13" Type="http://schemas.openxmlformats.org/officeDocument/2006/relationships/image" Target="../media/image12.emf"/><Relationship Id="rId18" Type="http://schemas.openxmlformats.org/officeDocument/2006/relationships/image" Target="../media/image7.emf"/><Relationship Id="rId26" Type="http://schemas.openxmlformats.org/officeDocument/2006/relationships/image" Target="../media/image26.emf"/><Relationship Id="rId3" Type="http://schemas.openxmlformats.org/officeDocument/2006/relationships/image" Target="../media/image22.emf"/><Relationship Id="rId21" Type="http://schemas.openxmlformats.org/officeDocument/2006/relationships/image" Target="../media/image4.emf"/><Relationship Id="rId7" Type="http://schemas.openxmlformats.org/officeDocument/2006/relationships/image" Target="../media/image18.emf"/><Relationship Id="rId12" Type="http://schemas.openxmlformats.org/officeDocument/2006/relationships/image" Target="../media/image13.emf"/><Relationship Id="rId17" Type="http://schemas.openxmlformats.org/officeDocument/2006/relationships/image" Target="../media/image8.emf"/><Relationship Id="rId25" Type="http://schemas.openxmlformats.org/officeDocument/2006/relationships/image" Target="../media/image25.emf"/><Relationship Id="rId2" Type="http://schemas.openxmlformats.org/officeDocument/2006/relationships/image" Target="../media/image23.emf"/><Relationship Id="rId16" Type="http://schemas.openxmlformats.org/officeDocument/2006/relationships/image" Target="../media/image9.emf"/><Relationship Id="rId20" Type="http://schemas.openxmlformats.org/officeDocument/2006/relationships/image" Target="../media/image5.emf"/><Relationship Id="rId29" Type="http://schemas.openxmlformats.org/officeDocument/2006/relationships/image" Target="../media/image29.emf"/><Relationship Id="rId1" Type="http://schemas.openxmlformats.org/officeDocument/2006/relationships/image" Target="../media/image24.emf"/><Relationship Id="rId6" Type="http://schemas.openxmlformats.org/officeDocument/2006/relationships/image" Target="../media/image19.emf"/><Relationship Id="rId11" Type="http://schemas.openxmlformats.org/officeDocument/2006/relationships/image" Target="../media/image14.emf"/><Relationship Id="rId24" Type="http://schemas.openxmlformats.org/officeDocument/2006/relationships/image" Target="../media/image1.emf"/><Relationship Id="rId5" Type="http://schemas.openxmlformats.org/officeDocument/2006/relationships/image" Target="../media/image20.emf"/><Relationship Id="rId15" Type="http://schemas.openxmlformats.org/officeDocument/2006/relationships/image" Target="../media/image10.emf"/><Relationship Id="rId23" Type="http://schemas.openxmlformats.org/officeDocument/2006/relationships/image" Target="../media/image2.emf"/><Relationship Id="rId28" Type="http://schemas.openxmlformats.org/officeDocument/2006/relationships/image" Target="../media/image28.emf"/><Relationship Id="rId10" Type="http://schemas.openxmlformats.org/officeDocument/2006/relationships/image" Target="../media/image15.emf"/><Relationship Id="rId19" Type="http://schemas.openxmlformats.org/officeDocument/2006/relationships/image" Target="../media/image6.emf"/><Relationship Id="rId4" Type="http://schemas.openxmlformats.org/officeDocument/2006/relationships/image" Target="../media/image21.emf"/><Relationship Id="rId9" Type="http://schemas.openxmlformats.org/officeDocument/2006/relationships/image" Target="../media/image16.emf"/><Relationship Id="rId14" Type="http://schemas.openxmlformats.org/officeDocument/2006/relationships/image" Target="../media/image11.emf"/><Relationship Id="rId22" Type="http://schemas.openxmlformats.org/officeDocument/2006/relationships/image" Target="../media/image3.emf"/><Relationship Id="rId27" Type="http://schemas.openxmlformats.org/officeDocument/2006/relationships/image" Target="../media/image27.emf"/><Relationship Id="rId30" Type="http://schemas.openxmlformats.org/officeDocument/2006/relationships/image" Target="../media/image30.emf"/></Relationships>
</file>

<file path=xl/drawings/_rels/vmlDrawing2.vml.rels><?xml version="1.0" encoding="UTF-8" standalone="yes"?>
<Relationships xmlns="http://schemas.openxmlformats.org/package/2006/relationships"><Relationship Id="rId8" Type="http://schemas.openxmlformats.org/officeDocument/2006/relationships/image" Target="../media/image48.emf"/><Relationship Id="rId13" Type="http://schemas.openxmlformats.org/officeDocument/2006/relationships/image" Target="../media/image50.emf"/><Relationship Id="rId18" Type="http://schemas.openxmlformats.org/officeDocument/2006/relationships/image" Target="../media/image55.emf"/><Relationship Id="rId26" Type="http://schemas.openxmlformats.org/officeDocument/2006/relationships/image" Target="../media/image63.emf"/><Relationship Id="rId3" Type="http://schemas.openxmlformats.org/officeDocument/2006/relationships/image" Target="../media/image44.emf"/><Relationship Id="rId21" Type="http://schemas.openxmlformats.org/officeDocument/2006/relationships/image" Target="../media/image58.emf"/><Relationship Id="rId34" Type="http://schemas.openxmlformats.org/officeDocument/2006/relationships/image" Target="../media/image67.emf"/><Relationship Id="rId7" Type="http://schemas.openxmlformats.org/officeDocument/2006/relationships/image" Target="../media/image47.emf"/><Relationship Id="rId12" Type="http://schemas.openxmlformats.org/officeDocument/2006/relationships/image" Target="../media/image49.emf"/><Relationship Id="rId17" Type="http://schemas.openxmlformats.org/officeDocument/2006/relationships/image" Target="../media/image54.emf"/><Relationship Id="rId25" Type="http://schemas.openxmlformats.org/officeDocument/2006/relationships/image" Target="../media/image62.emf"/><Relationship Id="rId33" Type="http://schemas.openxmlformats.org/officeDocument/2006/relationships/image" Target="../media/image66.emf"/><Relationship Id="rId38" Type="http://schemas.openxmlformats.org/officeDocument/2006/relationships/image" Target="../media/image31.emf"/><Relationship Id="rId2" Type="http://schemas.openxmlformats.org/officeDocument/2006/relationships/image" Target="../media/image43.emf"/><Relationship Id="rId16" Type="http://schemas.openxmlformats.org/officeDocument/2006/relationships/image" Target="../media/image53.emf"/><Relationship Id="rId20" Type="http://schemas.openxmlformats.org/officeDocument/2006/relationships/image" Target="../media/image57.emf"/><Relationship Id="rId29" Type="http://schemas.openxmlformats.org/officeDocument/2006/relationships/image" Target="../media/image37.emf"/><Relationship Id="rId1" Type="http://schemas.openxmlformats.org/officeDocument/2006/relationships/image" Target="../media/image42.emf"/><Relationship Id="rId6" Type="http://schemas.openxmlformats.org/officeDocument/2006/relationships/image" Target="../media/image41.emf"/><Relationship Id="rId11" Type="http://schemas.openxmlformats.org/officeDocument/2006/relationships/image" Target="../media/image38.emf"/><Relationship Id="rId24" Type="http://schemas.openxmlformats.org/officeDocument/2006/relationships/image" Target="../media/image61.emf"/><Relationship Id="rId32" Type="http://schemas.openxmlformats.org/officeDocument/2006/relationships/image" Target="../media/image34.emf"/><Relationship Id="rId37" Type="http://schemas.openxmlformats.org/officeDocument/2006/relationships/image" Target="../media/image32.emf"/><Relationship Id="rId5" Type="http://schemas.openxmlformats.org/officeDocument/2006/relationships/image" Target="../media/image46.emf"/><Relationship Id="rId15" Type="http://schemas.openxmlformats.org/officeDocument/2006/relationships/image" Target="../media/image52.emf"/><Relationship Id="rId23" Type="http://schemas.openxmlformats.org/officeDocument/2006/relationships/image" Target="../media/image60.emf"/><Relationship Id="rId28" Type="http://schemas.openxmlformats.org/officeDocument/2006/relationships/image" Target="../media/image65.emf"/><Relationship Id="rId36" Type="http://schemas.openxmlformats.org/officeDocument/2006/relationships/image" Target="../media/image33.emf"/><Relationship Id="rId10" Type="http://schemas.openxmlformats.org/officeDocument/2006/relationships/image" Target="../media/image39.emf"/><Relationship Id="rId19" Type="http://schemas.openxmlformats.org/officeDocument/2006/relationships/image" Target="../media/image56.emf"/><Relationship Id="rId31" Type="http://schemas.openxmlformats.org/officeDocument/2006/relationships/image" Target="../media/image35.emf"/><Relationship Id="rId4" Type="http://schemas.openxmlformats.org/officeDocument/2006/relationships/image" Target="../media/image45.emf"/><Relationship Id="rId9" Type="http://schemas.openxmlformats.org/officeDocument/2006/relationships/image" Target="../media/image40.emf"/><Relationship Id="rId14" Type="http://schemas.openxmlformats.org/officeDocument/2006/relationships/image" Target="../media/image51.emf"/><Relationship Id="rId22" Type="http://schemas.openxmlformats.org/officeDocument/2006/relationships/image" Target="../media/image59.emf"/><Relationship Id="rId27" Type="http://schemas.openxmlformats.org/officeDocument/2006/relationships/image" Target="../media/image64.emf"/><Relationship Id="rId30" Type="http://schemas.openxmlformats.org/officeDocument/2006/relationships/image" Target="../media/image36.emf"/><Relationship Id="rId35" Type="http://schemas.openxmlformats.org/officeDocument/2006/relationships/image" Target="../media/image68.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71.emf"/><Relationship Id="rId2" Type="http://schemas.openxmlformats.org/officeDocument/2006/relationships/image" Target="../media/image70.emf"/><Relationship Id="rId1" Type="http://schemas.openxmlformats.org/officeDocument/2006/relationships/image" Target="../media/image69.emf"/><Relationship Id="rId4" Type="http://schemas.openxmlformats.org/officeDocument/2006/relationships/image" Target="../media/image7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266700</xdr:colOff>
          <xdr:row>14</xdr:row>
          <xdr:rowOff>85725</xdr:rowOff>
        </xdr:from>
        <xdr:to>
          <xdr:col>7</xdr:col>
          <xdr:colOff>57150</xdr:colOff>
          <xdr:row>16</xdr:row>
          <xdr:rowOff>28575</xdr:rowOff>
        </xdr:to>
        <xdr:sp macro="" textlink="">
          <xdr:nvSpPr>
            <xdr:cNvPr id="1209" name="BtnLeft" hidden="1">
              <a:extLst>
                <a:ext uri="{63B3BB69-23CF-44E3-9099-C40C66FF867C}">
                  <a14:compatExt spid="_x0000_s1209"/>
                </a:ext>
                <a:ext uri="{FF2B5EF4-FFF2-40B4-BE49-F238E27FC236}">
                  <a16:creationId xmlns:a16="http://schemas.microsoft.com/office/drawing/2014/main" id="{00000000-0008-0000-0000-0000B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95250</xdr:colOff>
          <xdr:row>14</xdr:row>
          <xdr:rowOff>85725</xdr:rowOff>
        </xdr:from>
        <xdr:to>
          <xdr:col>7</xdr:col>
          <xdr:colOff>657225</xdr:colOff>
          <xdr:row>16</xdr:row>
          <xdr:rowOff>28575</xdr:rowOff>
        </xdr:to>
        <xdr:sp macro="" textlink="">
          <xdr:nvSpPr>
            <xdr:cNvPr id="1210" name="BtnRight" hidden="1">
              <a:extLst>
                <a:ext uri="{63B3BB69-23CF-44E3-9099-C40C66FF867C}">
                  <a14:compatExt spid="_x0000_s1210"/>
                </a:ext>
                <a:ext uri="{FF2B5EF4-FFF2-40B4-BE49-F238E27FC236}">
                  <a16:creationId xmlns:a16="http://schemas.microsoft.com/office/drawing/2014/main" id="{00000000-0008-0000-0000-0000B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266700</xdr:colOff>
          <xdr:row>16</xdr:row>
          <xdr:rowOff>38100</xdr:rowOff>
        </xdr:from>
        <xdr:to>
          <xdr:col>7</xdr:col>
          <xdr:colOff>647700</xdr:colOff>
          <xdr:row>17</xdr:row>
          <xdr:rowOff>161925</xdr:rowOff>
        </xdr:to>
        <xdr:sp macro="" textlink="">
          <xdr:nvSpPr>
            <xdr:cNvPr id="1211" name="BtnDown" hidden="1">
              <a:extLst>
                <a:ext uri="{63B3BB69-23CF-44E3-9099-C40C66FF867C}">
                  <a14:compatExt spid="_x0000_s1211"/>
                </a:ext>
                <a:ext uri="{FF2B5EF4-FFF2-40B4-BE49-F238E27FC236}">
                  <a16:creationId xmlns:a16="http://schemas.microsoft.com/office/drawing/2014/main" id="{00000000-0008-0000-0000-0000B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276225</xdr:colOff>
          <xdr:row>12</xdr:row>
          <xdr:rowOff>123825</xdr:rowOff>
        </xdr:from>
        <xdr:to>
          <xdr:col>7</xdr:col>
          <xdr:colOff>647700</xdr:colOff>
          <xdr:row>14</xdr:row>
          <xdr:rowOff>66675</xdr:rowOff>
        </xdr:to>
        <xdr:sp macro="" textlink="">
          <xdr:nvSpPr>
            <xdr:cNvPr id="1212" name="BtnUp" hidden="1">
              <a:extLst>
                <a:ext uri="{63B3BB69-23CF-44E3-9099-C40C66FF867C}">
                  <a14:compatExt spid="_x0000_s1212"/>
                </a:ext>
                <a:ext uri="{FF2B5EF4-FFF2-40B4-BE49-F238E27FC236}">
                  <a16:creationId xmlns:a16="http://schemas.microsoft.com/office/drawing/2014/main" id="{00000000-0008-0000-0000-0000BC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13</xdr:row>
          <xdr:rowOff>38100</xdr:rowOff>
        </xdr:from>
        <xdr:to>
          <xdr:col>4</xdr:col>
          <xdr:colOff>133350</xdr:colOff>
          <xdr:row>14</xdr:row>
          <xdr:rowOff>161925</xdr:rowOff>
        </xdr:to>
        <xdr:sp macro="" textlink="">
          <xdr:nvSpPr>
            <xdr:cNvPr id="1213" name="BtnFill" hidden="1">
              <a:extLst>
                <a:ext uri="{63B3BB69-23CF-44E3-9099-C40C66FF867C}">
                  <a14:compatExt spid="_x0000_s1213"/>
                </a:ext>
                <a:ext uri="{FF2B5EF4-FFF2-40B4-BE49-F238E27FC236}">
                  <a16:creationId xmlns:a16="http://schemas.microsoft.com/office/drawing/2014/main" id="{00000000-0008-0000-0000-0000B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276225</xdr:colOff>
          <xdr:row>13</xdr:row>
          <xdr:rowOff>38100</xdr:rowOff>
        </xdr:from>
        <xdr:to>
          <xdr:col>5</xdr:col>
          <xdr:colOff>257175</xdr:colOff>
          <xdr:row>14</xdr:row>
          <xdr:rowOff>161925</xdr:rowOff>
        </xdr:to>
        <xdr:sp macro="" textlink="">
          <xdr:nvSpPr>
            <xdr:cNvPr id="1214" name="BtnErase" hidden="1">
              <a:extLst>
                <a:ext uri="{63B3BB69-23CF-44E3-9099-C40C66FF867C}">
                  <a14:compatExt spid="_x0000_s1214"/>
                </a:ext>
                <a:ext uri="{FF2B5EF4-FFF2-40B4-BE49-F238E27FC236}">
                  <a16:creationId xmlns:a16="http://schemas.microsoft.com/office/drawing/2014/main" id="{00000000-0008-0000-0000-0000B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400050</xdr:colOff>
          <xdr:row>10</xdr:row>
          <xdr:rowOff>133350</xdr:rowOff>
        </xdr:from>
        <xdr:to>
          <xdr:col>2</xdr:col>
          <xdr:colOff>552450</xdr:colOff>
          <xdr:row>12</xdr:row>
          <xdr:rowOff>28575</xdr:rowOff>
        </xdr:to>
        <xdr:sp macro="" textlink="">
          <xdr:nvSpPr>
            <xdr:cNvPr id="1215" name="CbHighRes" hidden="1">
              <a:extLst>
                <a:ext uri="{63B3BB69-23CF-44E3-9099-C40C66FF867C}">
                  <a14:compatExt spid="_x0000_s1215"/>
                </a:ext>
                <a:ext uri="{FF2B5EF4-FFF2-40B4-BE49-F238E27FC236}">
                  <a16:creationId xmlns:a16="http://schemas.microsoft.com/office/drawing/2014/main" id="{00000000-0008-0000-0000-0000B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14</xdr:row>
          <xdr:rowOff>28575</xdr:rowOff>
        </xdr:from>
        <xdr:to>
          <xdr:col>8</xdr:col>
          <xdr:colOff>666750</xdr:colOff>
          <xdr:row>15</xdr:row>
          <xdr:rowOff>66675</xdr:rowOff>
        </xdr:to>
        <xdr:sp macro="" textlink="">
          <xdr:nvSpPr>
            <xdr:cNvPr id="1216" name="CbFill" hidden="1">
              <a:extLst>
                <a:ext uri="{63B3BB69-23CF-44E3-9099-C40C66FF867C}">
                  <a14:compatExt spid="_x0000_s1216"/>
                </a:ext>
                <a:ext uri="{FF2B5EF4-FFF2-40B4-BE49-F238E27FC236}">
                  <a16:creationId xmlns:a16="http://schemas.microsoft.com/office/drawing/2014/main" id="{00000000-0008-0000-0000-0000C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38100</xdr:colOff>
          <xdr:row>12</xdr:row>
          <xdr:rowOff>152400</xdr:rowOff>
        </xdr:from>
        <xdr:to>
          <xdr:col>8</xdr:col>
          <xdr:colOff>676275</xdr:colOff>
          <xdr:row>14</xdr:row>
          <xdr:rowOff>47625</xdr:rowOff>
        </xdr:to>
        <xdr:sp macro="" textlink="">
          <xdr:nvSpPr>
            <xdr:cNvPr id="1217" name="CbRotate" hidden="1">
              <a:extLst>
                <a:ext uri="{63B3BB69-23CF-44E3-9099-C40C66FF867C}">
                  <a14:compatExt spid="_x0000_s1217"/>
                </a:ext>
                <a:ext uri="{FF2B5EF4-FFF2-40B4-BE49-F238E27FC236}">
                  <a16:creationId xmlns:a16="http://schemas.microsoft.com/office/drawing/2014/main" id="{00000000-0008-0000-0000-0000C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114300</xdr:rowOff>
        </xdr:from>
        <xdr:to>
          <xdr:col>14</xdr:col>
          <xdr:colOff>38100</xdr:colOff>
          <xdr:row>38</xdr:row>
          <xdr:rowOff>95250</xdr:rowOff>
        </xdr:to>
        <xdr:sp macro="" textlink="">
          <xdr:nvSpPr>
            <xdr:cNvPr id="5754" name="AllCommands" hidden="1">
              <a:extLst>
                <a:ext uri="{63B3BB69-23CF-44E3-9099-C40C66FF867C}">
                  <a14:compatExt spid="_x0000_s5754"/>
                </a:ext>
                <a:ext uri="{FF2B5EF4-FFF2-40B4-BE49-F238E27FC236}">
                  <a16:creationId xmlns:a16="http://schemas.microsoft.com/office/drawing/2014/main" id="{00000000-0008-0000-0000-00007A1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180975</xdr:colOff>
          <xdr:row>12</xdr:row>
          <xdr:rowOff>142875</xdr:rowOff>
        </xdr:from>
        <xdr:to>
          <xdr:col>13</xdr:col>
          <xdr:colOff>352425</xdr:colOff>
          <xdr:row>14</xdr:row>
          <xdr:rowOff>38100</xdr:rowOff>
        </xdr:to>
        <xdr:sp macro="" textlink="">
          <xdr:nvSpPr>
            <xdr:cNvPr id="5755" name="CbAutoAdd" hidden="1">
              <a:extLst>
                <a:ext uri="{63B3BB69-23CF-44E3-9099-C40C66FF867C}">
                  <a14:compatExt spid="_x0000_s5755"/>
                </a:ext>
                <a:ext uri="{FF2B5EF4-FFF2-40B4-BE49-F238E27FC236}">
                  <a16:creationId xmlns:a16="http://schemas.microsoft.com/office/drawing/2014/main" id="{00000000-0008-0000-0000-00007B1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342900</xdr:colOff>
          <xdr:row>12</xdr:row>
          <xdr:rowOff>114300</xdr:rowOff>
        </xdr:from>
        <xdr:to>
          <xdr:col>15</xdr:col>
          <xdr:colOff>142875</xdr:colOff>
          <xdr:row>14</xdr:row>
          <xdr:rowOff>57150</xdr:rowOff>
        </xdr:to>
        <xdr:sp macro="" textlink="">
          <xdr:nvSpPr>
            <xdr:cNvPr id="5756" name="BtnAdd" hidden="1">
              <a:extLst>
                <a:ext uri="{63B3BB69-23CF-44E3-9099-C40C66FF867C}">
                  <a14:compatExt spid="_x0000_s5756"/>
                </a:ext>
                <a:ext uri="{FF2B5EF4-FFF2-40B4-BE49-F238E27FC236}">
                  <a16:creationId xmlns:a16="http://schemas.microsoft.com/office/drawing/2014/main" id="{00000000-0008-0000-0000-00007C1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xdr:col>
      <xdr:colOff>609600</xdr:colOff>
      <xdr:row>10</xdr:row>
      <xdr:rowOff>114300</xdr:rowOff>
    </xdr:from>
    <xdr:to>
      <xdr:col>2</xdr:col>
      <xdr:colOff>609600</xdr:colOff>
      <xdr:row>19</xdr:row>
      <xdr:rowOff>142875</xdr:rowOff>
    </xdr:to>
    <xdr:sp macro="" textlink="">
      <xdr:nvSpPr>
        <xdr:cNvPr id="91646" name="Line 3856">
          <a:extLst>
            <a:ext uri="{FF2B5EF4-FFF2-40B4-BE49-F238E27FC236}">
              <a16:creationId xmlns:a16="http://schemas.microsoft.com/office/drawing/2014/main" id="{00000000-0008-0000-0000-0000FE650100}"/>
            </a:ext>
          </a:extLst>
        </xdr:cNvPr>
        <xdr:cNvSpPr>
          <a:spLocks noChangeShapeType="1"/>
        </xdr:cNvSpPr>
      </xdr:nvSpPr>
      <xdr:spPr bwMode="auto">
        <a:xfrm>
          <a:off x="1981200" y="2286000"/>
          <a:ext cx="0" cy="16573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123825</xdr:colOff>
      <xdr:row>10</xdr:row>
      <xdr:rowOff>133350</xdr:rowOff>
    </xdr:from>
    <xdr:to>
      <xdr:col>6</xdr:col>
      <xdr:colOff>123825</xdr:colOff>
      <xdr:row>19</xdr:row>
      <xdr:rowOff>161925</xdr:rowOff>
    </xdr:to>
    <xdr:sp macro="" textlink="">
      <xdr:nvSpPr>
        <xdr:cNvPr id="91647" name="Line 3857">
          <a:extLst>
            <a:ext uri="{FF2B5EF4-FFF2-40B4-BE49-F238E27FC236}">
              <a16:creationId xmlns:a16="http://schemas.microsoft.com/office/drawing/2014/main" id="{00000000-0008-0000-0000-0000FF650100}"/>
            </a:ext>
          </a:extLst>
        </xdr:cNvPr>
        <xdr:cNvSpPr>
          <a:spLocks noChangeShapeType="1"/>
        </xdr:cNvSpPr>
      </xdr:nvSpPr>
      <xdr:spPr bwMode="auto">
        <a:xfrm>
          <a:off x="4238625" y="2305050"/>
          <a:ext cx="0" cy="16573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12</xdr:col>
      <xdr:colOff>76200</xdr:colOff>
      <xdr:row>10</xdr:row>
      <xdr:rowOff>123825</xdr:rowOff>
    </xdr:from>
    <xdr:to>
      <xdr:col>12</xdr:col>
      <xdr:colOff>76200</xdr:colOff>
      <xdr:row>19</xdr:row>
      <xdr:rowOff>152400</xdr:rowOff>
    </xdr:to>
    <xdr:sp macro="" textlink="">
      <xdr:nvSpPr>
        <xdr:cNvPr id="91648" name="Line 3858">
          <a:extLst>
            <a:ext uri="{FF2B5EF4-FFF2-40B4-BE49-F238E27FC236}">
              <a16:creationId xmlns:a16="http://schemas.microsoft.com/office/drawing/2014/main" id="{00000000-0008-0000-0000-000000660100}"/>
            </a:ext>
          </a:extLst>
        </xdr:cNvPr>
        <xdr:cNvSpPr>
          <a:spLocks noChangeShapeType="1"/>
        </xdr:cNvSpPr>
      </xdr:nvSpPr>
      <xdr:spPr bwMode="auto">
        <a:xfrm>
          <a:off x="8305800" y="2295525"/>
          <a:ext cx="0" cy="16573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oneCellAnchor>
    <xdr:from>
      <xdr:col>0</xdr:col>
      <xdr:colOff>295275</xdr:colOff>
      <xdr:row>10</xdr:row>
      <xdr:rowOff>161925</xdr:rowOff>
    </xdr:from>
    <xdr:ext cx="732060" cy="185307"/>
    <xdr:sp macro="" textlink="">
      <xdr:nvSpPr>
        <xdr:cNvPr id="6932" name="Text Box 3860">
          <a:extLst>
            <a:ext uri="{FF2B5EF4-FFF2-40B4-BE49-F238E27FC236}">
              <a16:creationId xmlns:a16="http://schemas.microsoft.com/office/drawing/2014/main" id="{00000000-0008-0000-0000-0000141B0000}"/>
            </a:ext>
          </a:extLst>
        </xdr:cNvPr>
        <xdr:cNvSpPr txBox="1">
          <a:spLocks noChangeArrowheads="1"/>
        </xdr:cNvSpPr>
      </xdr:nvSpPr>
      <xdr:spPr bwMode="auto">
        <a:xfrm>
          <a:off x="295275" y="2333625"/>
          <a:ext cx="732060" cy="18530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22860" rIns="0" bIns="0" anchor="t" upright="1">
          <a:spAutoFit/>
        </a:bodyPr>
        <a:lstStyle/>
        <a:p>
          <a:pPr algn="l" rtl="0">
            <a:defRPr sz="1000"/>
          </a:pPr>
          <a:r>
            <a:rPr lang="de-CH" sz="1100" b="0" i="0" u="none" strike="noStrike" baseline="0">
              <a:solidFill>
                <a:srgbClr val="000000"/>
              </a:solidFill>
              <a:latin typeface="Arial"/>
              <a:cs typeface="Arial"/>
            </a:rPr>
            <a:t>Dalek Type</a:t>
          </a:r>
        </a:p>
      </xdr:txBody>
    </xdr:sp>
    <xdr:clientData/>
  </xdr:oneCellAnchor>
  <xdr:twoCellAnchor editAs="oneCell">
    <xdr:from>
      <xdr:col>15</xdr:col>
      <xdr:colOff>76200</xdr:colOff>
      <xdr:row>23</xdr:row>
      <xdr:rowOff>161925</xdr:rowOff>
    </xdr:from>
    <xdr:to>
      <xdr:col>15</xdr:col>
      <xdr:colOff>152400</xdr:colOff>
      <xdr:row>25</xdr:row>
      <xdr:rowOff>19050</xdr:rowOff>
    </xdr:to>
    <xdr:sp macro="" textlink="">
      <xdr:nvSpPr>
        <xdr:cNvPr id="91651" name="Text Box 3862">
          <a:extLst>
            <a:ext uri="{FF2B5EF4-FFF2-40B4-BE49-F238E27FC236}">
              <a16:creationId xmlns:a16="http://schemas.microsoft.com/office/drawing/2014/main" id="{00000000-0008-0000-0000-000003660100}"/>
            </a:ext>
          </a:extLst>
        </xdr:cNvPr>
        <xdr:cNvSpPr txBox="1">
          <a:spLocks noChangeArrowheads="1"/>
        </xdr:cNvSpPr>
      </xdr:nvSpPr>
      <xdr:spPr bwMode="auto">
        <a:xfrm>
          <a:off x="10363200" y="4695825"/>
          <a:ext cx="76200"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oneCellAnchor>
    <xdr:from>
      <xdr:col>3</xdr:col>
      <xdr:colOff>133350</xdr:colOff>
      <xdr:row>11</xdr:row>
      <xdr:rowOff>66675</xdr:rowOff>
    </xdr:from>
    <xdr:ext cx="1586909" cy="185307"/>
    <xdr:sp macro="" textlink="">
      <xdr:nvSpPr>
        <xdr:cNvPr id="6935" name="Text Box 3863">
          <a:extLst>
            <a:ext uri="{FF2B5EF4-FFF2-40B4-BE49-F238E27FC236}">
              <a16:creationId xmlns:a16="http://schemas.microsoft.com/office/drawing/2014/main" id="{00000000-0008-0000-0000-0000171B0000}"/>
            </a:ext>
          </a:extLst>
        </xdr:cNvPr>
        <xdr:cNvSpPr txBox="1">
          <a:spLocks noChangeArrowheads="1"/>
        </xdr:cNvSpPr>
      </xdr:nvSpPr>
      <xdr:spPr bwMode="auto">
        <a:xfrm>
          <a:off x="2197100" y="2405592"/>
          <a:ext cx="1586909" cy="18530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22860" rIns="0" bIns="0" anchor="t" upright="1">
          <a:spAutoFit/>
        </a:bodyPr>
        <a:lstStyle/>
        <a:p>
          <a:pPr algn="l" rtl="0">
            <a:defRPr sz="1000"/>
          </a:pPr>
          <a:r>
            <a:rPr lang="de-CH" sz="1100" b="0" i="0" u="none" strike="noStrike" baseline="0">
              <a:solidFill>
                <a:srgbClr val="000000"/>
              </a:solidFill>
              <a:latin typeface="Arial"/>
              <a:cs typeface="Arial"/>
            </a:rPr>
            <a:t>Color Setting &amp; Selection</a:t>
          </a:r>
        </a:p>
      </xdr:txBody>
    </xdr:sp>
    <xdr:clientData/>
  </xdr:oneCellAnchor>
  <xdr:oneCellAnchor>
    <xdr:from>
      <xdr:col>6</xdr:col>
      <xdr:colOff>276225</xdr:colOff>
      <xdr:row>11</xdr:row>
      <xdr:rowOff>57150</xdr:rowOff>
    </xdr:from>
    <xdr:ext cx="920508" cy="185307"/>
    <xdr:sp macro="" textlink="">
      <xdr:nvSpPr>
        <xdr:cNvPr id="6936" name="Text Box 3864">
          <a:extLst>
            <a:ext uri="{FF2B5EF4-FFF2-40B4-BE49-F238E27FC236}">
              <a16:creationId xmlns:a16="http://schemas.microsoft.com/office/drawing/2014/main" id="{00000000-0008-0000-0000-0000181B0000}"/>
            </a:ext>
          </a:extLst>
        </xdr:cNvPr>
        <xdr:cNvSpPr txBox="1">
          <a:spLocks noChangeArrowheads="1"/>
        </xdr:cNvSpPr>
      </xdr:nvSpPr>
      <xdr:spPr bwMode="auto">
        <a:xfrm>
          <a:off x="4403725" y="2396067"/>
          <a:ext cx="920508" cy="18530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22860" rIns="0" bIns="0" anchor="t" upright="1">
          <a:spAutoFit/>
        </a:bodyPr>
        <a:lstStyle/>
        <a:p>
          <a:pPr algn="l" rtl="0">
            <a:defRPr sz="1000"/>
          </a:pPr>
          <a:r>
            <a:rPr lang="de-CH" sz="1100" b="0" i="0" u="none" strike="noStrike" baseline="0">
              <a:solidFill>
                <a:srgbClr val="000000"/>
              </a:solidFill>
              <a:latin typeface="Arial"/>
              <a:cs typeface="Arial"/>
            </a:rPr>
            <a:t>Led Animation</a:t>
          </a:r>
        </a:p>
      </xdr:txBody>
    </xdr:sp>
    <xdr:clientData/>
  </xdr:oneCellAnchor>
  <xdr:twoCellAnchor editAs="oneCell">
    <xdr:from>
      <xdr:col>12</xdr:col>
      <xdr:colOff>171450</xdr:colOff>
      <xdr:row>11</xdr:row>
      <xdr:rowOff>28575</xdr:rowOff>
    </xdr:from>
    <xdr:to>
      <xdr:col>15</xdr:col>
      <xdr:colOff>190500</xdr:colOff>
      <xdr:row>12</xdr:row>
      <xdr:rowOff>66675</xdr:rowOff>
    </xdr:to>
    <xdr:sp macro="" textlink="">
      <xdr:nvSpPr>
        <xdr:cNvPr id="6937" name="Text Box 3865">
          <a:extLst>
            <a:ext uri="{FF2B5EF4-FFF2-40B4-BE49-F238E27FC236}">
              <a16:creationId xmlns:a16="http://schemas.microsoft.com/office/drawing/2014/main" id="{00000000-0008-0000-0000-0000191B0000}"/>
            </a:ext>
          </a:extLst>
        </xdr:cNvPr>
        <xdr:cNvSpPr txBox="1">
          <a:spLocks noChangeArrowheads="1"/>
        </xdr:cNvSpPr>
      </xdr:nvSpPr>
      <xdr:spPr bwMode="auto">
        <a:xfrm>
          <a:off x="8401050" y="2381250"/>
          <a:ext cx="2076450"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de-CH" sz="1100" b="0" i="0" u="none" strike="noStrike" baseline="0">
              <a:solidFill>
                <a:srgbClr val="000000"/>
              </a:solidFill>
              <a:latin typeface="Arial"/>
              <a:cs typeface="Arial"/>
            </a:rPr>
            <a:t>Pattern &amp; Animation handling Handling</a:t>
          </a:r>
        </a:p>
      </xdr:txBody>
    </xdr:sp>
    <xdr:clientData/>
  </xdr:twoCellAnchor>
  <xdr:twoCellAnchor editAs="oneCell">
    <xdr:from>
      <xdr:col>0</xdr:col>
      <xdr:colOff>314325</xdr:colOff>
      <xdr:row>21</xdr:row>
      <xdr:rowOff>28575</xdr:rowOff>
    </xdr:from>
    <xdr:to>
      <xdr:col>5</xdr:col>
      <xdr:colOff>276225</xdr:colOff>
      <xdr:row>22</xdr:row>
      <xdr:rowOff>66675</xdr:rowOff>
    </xdr:to>
    <xdr:sp macro="" textlink="">
      <xdr:nvSpPr>
        <xdr:cNvPr id="6939" name="Text Box 3867">
          <a:extLst>
            <a:ext uri="{FF2B5EF4-FFF2-40B4-BE49-F238E27FC236}">
              <a16:creationId xmlns:a16="http://schemas.microsoft.com/office/drawing/2014/main" id="{00000000-0008-0000-0000-00001B1B0000}"/>
            </a:ext>
          </a:extLst>
        </xdr:cNvPr>
        <xdr:cNvSpPr txBox="1">
          <a:spLocks noChangeArrowheads="1"/>
        </xdr:cNvSpPr>
      </xdr:nvSpPr>
      <xdr:spPr bwMode="auto">
        <a:xfrm>
          <a:off x="314325" y="4200525"/>
          <a:ext cx="3390900"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de-CH" sz="1100" b="0" i="0" u="none" strike="noStrike" baseline="0">
              <a:solidFill>
                <a:srgbClr val="000000"/>
              </a:solidFill>
              <a:latin typeface="Arial"/>
              <a:cs typeface="Arial"/>
            </a:rPr>
            <a:t>Animation (Editable, ctrl-Enter to add a new line)</a:t>
          </a:r>
        </a:p>
      </xdr:txBody>
    </xdr:sp>
    <xdr:clientData/>
  </xdr:twoCellAnchor>
  <mc:AlternateContent xmlns:mc="http://schemas.openxmlformats.org/markup-compatibility/2006">
    <mc:Choice xmlns:a14="http://schemas.microsoft.com/office/drawing/2010/main" Requires="a14">
      <xdr:twoCellAnchor editAs="oneCell">
        <xdr:from>
          <xdr:col>13</xdr:col>
          <xdr:colOff>352425</xdr:colOff>
          <xdr:row>14</xdr:row>
          <xdr:rowOff>133350</xdr:rowOff>
        </xdr:from>
        <xdr:to>
          <xdr:col>15</xdr:col>
          <xdr:colOff>152400</xdr:colOff>
          <xdr:row>16</xdr:row>
          <xdr:rowOff>76200</xdr:rowOff>
        </xdr:to>
        <xdr:sp macro="" textlink="">
          <xdr:nvSpPr>
            <xdr:cNvPr id="7174" name="BtnEraseCmd" hidden="1">
              <a:extLst>
                <a:ext uri="{63B3BB69-23CF-44E3-9099-C40C66FF867C}">
                  <a14:compatExt spid="_x0000_s7174"/>
                </a:ext>
                <a:ext uri="{FF2B5EF4-FFF2-40B4-BE49-F238E27FC236}">
                  <a16:creationId xmlns:a16="http://schemas.microsoft.com/office/drawing/2014/main" id="{00000000-0008-0000-0000-000006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57150</xdr:colOff>
      <xdr:row>6</xdr:row>
      <xdr:rowOff>76200</xdr:rowOff>
    </xdr:from>
    <xdr:to>
      <xdr:col>1</xdr:col>
      <xdr:colOff>57150</xdr:colOff>
      <xdr:row>8</xdr:row>
      <xdr:rowOff>19050</xdr:rowOff>
    </xdr:to>
    <xdr:sp macro="" textlink="">
      <xdr:nvSpPr>
        <xdr:cNvPr id="91656" name="Line 8130">
          <a:extLst>
            <a:ext uri="{FF2B5EF4-FFF2-40B4-BE49-F238E27FC236}">
              <a16:creationId xmlns:a16="http://schemas.microsoft.com/office/drawing/2014/main" id="{00000000-0008-0000-0000-000008660100}"/>
            </a:ext>
          </a:extLst>
        </xdr:cNvPr>
        <xdr:cNvSpPr>
          <a:spLocks noChangeShapeType="1"/>
        </xdr:cNvSpPr>
      </xdr:nvSpPr>
      <xdr:spPr bwMode="auto">
        <a:xfrm flipV="1">
          <a:off x="742950" y="1162050"/>
          <a:ext cx="0" cy="3048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oneCellAnchor>
    <xdr:from>
      <xdr:col>9</xdr:col>
      <xdr:colOff>123825</xdr:colOff>
      <xdr:row>11</xdr:row>
      <xdr:rowOff>9525</xdr:rowOff>
    </xdr:from>
    <xdr:ext cx="1132105" cy="185307"/>
    <xdr:sp macro="" textlink="">
      <xdr:nvSpPr>
        <xdr:cNvPr id="15635" name="Text Box 12563">
          <a:extLst>
            <a:ext uri="{FF2B5EF4-FFF2-40B4-BE49-F238E27FC236}">
              <a16:creationId xmlns:a16="http://schemas.microsoft.com/office/drawing/2014/main" id="{00000000-0008-0000-0000-0000133D0000}"/>
            </a:ext>
          </a:extLst>
        </xdr:cNvPr>
        <xdr:cNvSpPr txBox="1">
          <a:spLocks noChangeArrowheads="1"/>
        </xdr:cNvSpPr>
      </xdr:nvSpPr>
      <xdr:spPr bwMode="auto">
        <a:xfrm>
          <a:off x="6315075" y="2348442"/>
          <a:ext cx="1132105" cy="18530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22860" rIns="0" bIns="0" anchor="t" upright="1">
          <a:spAutoFit/>
        </a:bodyPr>
        <a:lstStyle/>
        <a:p>
          <a:pPr algn="l" rtl="0">
            <a:defRPr sz="1000"/>
          </a:pPr>
          <a:r>
            <a:rPr lang="de-CH" sz="1100" b="0" i="0" u="none" strike="noStrike" baseline="0">
              <a:solidFill>
                <a:srgbClr val="000000"/>
              </a:solidFill>
              <a:latin typeface="Arial"/>
              <a:cs typeface="Arial"/>
            </a:rPr>
            <a:t>Detailed Direction</a:t>
          </a:r>
        </a:p>
      </xdr:txBody>
    </xdr:sp>
    <xdr:clientData/>
  </xdr:oneCellAnchor>
  <mc:AlternateContent xmlns:mc="http://schemas.openxmlformats.org/markup-compatibility/2006">
    <mc:Choice xmlns:a14="http://schemas.microsoft.com/office/drawing/2010/main" Requires="a14">
      <xdr:twoCellAnchor editAs="oneCell">
        <xdr:from>
          <xdr:col>9</xdr:col>
          <xdr:colOff>676275</xdr:colOff>
          <xdr:row>15</xdr:row>
          <xdr:rowOff>57150</xdr:rowOff>
        </xdr:from>
        <xdr:to>
          <xdr:col>11</xdr:col>
          <xdr:colOff>47625</xdr:colOff>
          <xdr:row>17</xdr:row>
          <xdr:rowOff>0</xdr:rowOff>
        </xdr:to>
        <xdr:sp macro="" textlink="">
          <xdr:nvSpPr>
            <xdr:cNvPr id="15637" name="BtnColumns" hidden="1">
              <a:extLst>
                <a:ext uri="{63B3BB69-23CF-44E3-9099-C40C66FF867C}">
                  <a14:compatExt spid="_x0000_s15637"/>
                </a:ext>
                <a:ext uri="{FF2B5EF4-FFF2-40B4-BE49-F238E27FC236}">
                  <a16:creationId xmlns:a16="http://schemas.microsoft.com/office/drawing/2014/main" id="{00000000-0008-0000-0000-0000153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542925</xdr:colOff>
          <xdr:row>12</xdr:row>
          <xdr:rowOff>38100</xdr:rowOff>
        </xdr:from>
        <xdr:to>
          <xdr:col>11</xdr:col>
          <xdr:colOff>600075</xdr:colOff>
          <xdr:row>13</xdr:row>
          <xdr:rowOff>95250</xdr:rowOff>
        </xdr:to>
        <xdr:sp macro="" textlink="">
          <xdr:nvSpPr>
            <xdr:cNvPr id="15639" name="ComboColumns" hidden="1">
              <a:extLst>
                <a:ext uri="{63B3BB69-23CF-44E3-9099-C40C66FF867C}">
                  <a14:compatExt spid="_x0000_s15639"/>
                </a:ext>
                <a:ext uri="{FF2B5EF4-FFF2-40B4-BE49-F238E27FC236}">
                  <a16:creationId xmlns:a16="http://schemas.microsoft.com/office/drawing/2014/main" id="{00000000-0008-0000-0000-0000173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9</xdr:col>
      <xdr:colOff>19050</xdr:colOff>
      <xdr:row>12</xdr:row>
      <xdr:rowOff>47625</xdr:rowOff>
    </xdr:from>
    <xdr:to>
      <xdr:col>9</xdr:col>
      <xdr:colOff>438150</xdr:colOff>
      <xdr:row>13</xdr:row>
      <xdr:rowOff>85725</xdr:rowOff>
    </xdr:to>
    <xdr:sp macro="" textlink="">
      <xdr:nvSpPr>
        <xdr:cNvPr id="15640" name="Text Box 12568">
          <a:extLst>
            <a:ext uri="{FF2B5EF4-FFF2-40B4-BE49-F238E27FC236}">
              <a16:creationId xmlns:a16="http://schemas.microsoft.com/office/drawing/2014/main" id="{00000000-0008-0000-0000-0000183D0000}"/>
            </a:ext>
          </a:extLst>
        </xdr:cNvPr>
        <xdr:cNvSpPr txBox="1">
          <a:spLocks noChangeArrowheads="1"/>
        </xdr:cNvSpPr>
      </xdr:nvSpPr>
      <xdr:spPr bwMode="auto">
        <a:xfrm>
          <a:off x="6191250" y="2581275"/>
          <a:ext cx="419100"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0" tIns="22860" rIns="27432" bIns="0" anchor="t" upright="1"/>
        <a:lstStyle/>
        <a:p>
          <a:pPr algn="r" rtl="0">
            <a:defRPr sz="1000"/>
          </a:pPr>
          <a:r>
            <a:rPr lang="de-CH" sz="1100" b="0" i="0" u="none" strike="noStrike" baseline="0">
              <a:solidFill>
                <a:srgbClr val="000000"/>
              </a:solidFill>
              <a:latin typeface="Arial"/>
              <a:cs typeface="Arial"/>
            </a:rPr>
            <a:t>For:</a:t>
          </a:r>
        </a:p>
      </xdr:txBody>
    </xdr:sp>
    <xdr:clientData/>
  </xdr:twoCellAnchor>
  <xdr:twoCellAnchor editAs="oneCell">
    <xdr:from>
      <xdr:col>9</xdr:col>
      <xdr:colOff>28575</xdr:colOff>
      <xdr:row>13</xdr:row>
      <xdr:rowOff>133350</xdr:rowOff>
    </xdr:from>
    <xdr:to>
      <xdr:col>9</xdr:col>
      <xdr:colOff>447675</xdr:colOff>
      <xdr:row>14</xdr:row>
      <xdr:rowOff>171450</xdr:rowOff>
    </xdr:to>
    <xdr:sp macro="" textlink="">
      <xdr:nvSpPr>
        <xdr:cNvPr id="15641" name="Text Box 12569">
          <a:extLst>
            <a:ext uri="{FF2B5EF4-FFF2-40B4-BE49-F238E27FC236}">
              <a16:creationId xmlns:a16="http://schemas.microsoft.com/office/drawing/2014/main" id="{00000000-0008-0000-0000-0000193D0000}"/>
            </a:ext>
          </a:extLst>
        </xdr:cNvPr>
        <xdr:cNvSpPr txBox="1">
          <a:spLocks noChangeArrowheads="1"/>
        </xdr:cNvSpPr>
      </xdr:nvSpPr>
      <xdr:spPr bwMode="auto">
        <a:xfrm>
          <a:off x="6200775" y="2847975"/>
          <a:ext cx="419100"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0" tIns="22860" rIns="27432" bIns="0" anchor="t" upright="1"/>
        <a:lstStyle/>
        <a:p>
          <a:pPr algn="r" rtl="0">
            <a:defRPr sz="1000"/>
          </a:pPr>
          <a:r>
            <a:rPr lang="de-CH" sz="1100" b="0" i="0" u="none" strike="noStrike" baseline="0">
              <a:solidFill>
                <a:srgbClr val="000000"/>
              </a:solidFill>
              <a:latin typeface="Arial"/>
              <a:cs typeface="Arial"/>
            </a:rPr>
            <a:t>For:</a:t>
          </a:r>
        </a:p>
      </xdr:txBody>
    </xdr:sp>
    <xdr:clientData/>
  </xdr:twoCellAnchor>
  <mc:AlternateContent xmlns:mc="http://schemas.openxmlformats.org/markup-compatibility/2006">
    <mc:Choice xmlns:a14="http://schemas.microsoft.com/office/drawing/2010/main" Requires="a14">
      <xdr:twoCellAnchor editAs="oneCell">
        <xdr:from>
          <xdr:col>9</xdr:col>
          <xdr:colOff>542925</xdr:colOff>
          <xdr:row>13</xdr:row>
          <xdr:rowOff>114300</xdr:rowOff>
        </xdr:from>
        <xdr:to>
          <xdr:col>11</xdr:col>
          <xdr:colOff>600075</xdr:colOff>
          <xdr:row>14</xdr:row>
          <xdr:rowOff>171450</xdr:rowOff>
        </xdr:to>
        <xdr:sp macro="" textlink="">
          <xdr:nvSpPr>
            <xdr:cNvPr id="17652" name="ComboRows" hidden="1">
              <a:extLst>
                <a:ext uri="{63B3BB69-23CF-44E3-9099-C40C66FF867C}">
                  <a14:compatExt spid="_x0000_s17652"/>
                </a:ext>
                <a:ext uri="{FF2B5EF4-FFF2-40B4-BE49-F238E27FC236}">
                  <a16:creationId xmlns:a16="http://schemas.microsoft.com/office/drawing/2014/main" id="{00000000-0008-0000-0000-0000F4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676275</xdr:colOff>
          <xdr:row>17</xdr:row>
          <xdr:rowOff>95250</xdr:rowOff>
        </xdr:from>
        <xdr:to>
          <xdr:col>11</xdr:col>
          <xdr:colOff>28575</xdr:colOff>
          <xdr:row>19</xdr:row>
          <xdr:rowOff>38100</xdr:rowOff>
        </xdr:to>
        <xdr:sp macro="" textlink="">
          <xdr:nvSpPr>
            <xdr:cNvPr id="17653" name="BtnRows" hidden="1">
              <a:extLst>
                <a:ext uri="{63B3BB69-23CF-44E3-9099-C40C66FF867C}">
                  <a14:compatExt spid="_x0000_s17653"/>
                </a:ext>
                <a:ext uri="{FF2B5EF4-FFF2-40B4-BE49-F238E27FC236}">
                  <a16:creationId xmlns:a16="http://schemas.microsoft.com/office/drawing/2014/main" id="{00000000-0008-0000-0000-0000F5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76200</xdr:colOff>
          <xdr:row>15</xdr:row>
          <xdr:rowOff>57150</xdr:rowOff>
        </xdr:from>
        <xdr:to>
          <xdr:col>11</xdr:col>
          <xdr:colOff>609600</xdr:colOff>
          <xdr:row>19</xdr:row>
          <xdr:rowOff>38100</xdr:rowOff>
        </xdr:to>
        <xdr:sp macro="" textlink="">
          <xdr:nvSpPr>
            <xdr:cNvPr id="17654" name="BtnColRow" hidden="1">
              <a:extLst>
                <a:ext uri="{63B3BB69-23CF-44E3-9099-C40C66FF867C}">
                  <a14:compatExt spid="_x0000_s17654"/>
                </a:ext>
                <a:ext uri="{FF2B5EF4-FFF2-40B4-BE49-F238E27FC236}">
                  <a16:creationId xmlns:a16="http://schemas.microsoft.com/office/drawing/2014/main" id="{00000000-0008-0000-0000-0000F6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142875</xdr:colOff>
          <xdr:row>15</xdr:row>
          <xdr:rowOff>57150</xdr:rowOff>
        </xdr:from>
        <xdr:to>
          <xdr:col>9</xdr:col>
          <xdr:colOff>638175</xdr:colOff>
          <xdr:row>19</xdr:row>
          <xdr:rowOff>38100</xdr:rowOff>
        </xdr:to>
        <xdr:sp macro="" textlink="">
          <xdr:nvSpPr>
            <xdr:cNvPr id="17959" name="BtnRowCol" hidden="1">
              <a:extLst>
                <a:ext uri="{63B3BB69-23CF-44E3-9099-C40C66FF867C}">
                  <a14:compatExt spid="_x0000_s17959"/>
                </a:ext>
                <a:ext uri="{FF2B5EF4-FFF2-40B4-BE49-F238E27FC236}">
                  <a16:creationId xmlns:a16="http://schemas.microsoft.com/office/drawing/2014/main" id="{00000000-0008-0000-0000-0000274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9</xdr:col>
      <xdr:colOff>57150</xdr:colOff>
      <xdr:row>11</xdr:row>
      <xdr:rowOff>0</xdr:rowOff>
    </xdr:from>
    <xdr:to>
      <xdr:col>9</xdr:col>
      <xdr:colOff>57150</xdr:colOff>
      <xdr:row>20</xdr:row>
      <xdr:rowOff>28575</xdr:rowOff>
    </xdr:to>
    <xdr:sp macro="" textlink="">
      <xdr:nvSpPr>
        <xdr:cNvPr id="91660" name="Line 14888">
          <a:extLst>
            <a:ext uri="{FF2B5EF4-FFF2-40B4-BE49-F238E27FC236}">
              <a16:creationId xmlns:a16="http://schemas.microsoft.com/office/drawing/2014/main" id="{00000000-0008-0000-0000-00000C660100}"/>
            </a:ext>
          </a:extLst>
        </xdr:cNvPr>
        <xdr:cNvSpPr>
          <a:spLocks noChangeShapeType="1"/>
        </xdr:cNvSpPr>
      </xdr:nvSpPr>
      <xdr:spPr bwMode="auto">
        <a:xfrm>
          <a:off x="6229350" y="2352675"/>
          <a:ext cx="0" cy="16573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12</xdr:col>
      <xdr:colOff>76200</xdr:colOff>
      <xdr:row>10</xdr:row>
      <xdr:rowOff>123825</xdr:rowOff>
    </xdr:from>
    <xdr:to>
      <xdr:col>12</xdr:col>
      <xdr:colOff>76200</xdr:colOff>
      <xdr:row>19</xdr:row>
      <xdr:rowOff>152400</xdr:rowOff>
    </xdr:to>
    <xdr:sp macro="" textlink="">
      <xdr:nvSpPr>
        <xdr:cNvPr id="91661" name="Line 37188">
          <a:extLst>
            <a:ext uri="{FF2B5EF4-FFF2-40B4-BE49-F238E27FC236}">
              <a16:creationId xmlns:a16="http://schemas.microsoft.com/office/drawing/2014/main" id="{00000000-0008-0000-0000-00000D660100}"/>
            </a:ext>
          </a:extLst>
        </xdr:cNvPr>
        <xdr:cNvSpPr>
          <a:spLocks noChangeShapeType="1"/>
        </xdr:cNvSpPr>
      </xdr:nvSpPr>
      <xdr:spPr bwMode="auto">
        <a:xfrm>
          <a:off x="8305800" y="2295525"/>
          <a:ext cx="0" cy="16573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12</xdr:col>
      <xdr:colOff>209550</xdr:colOff>
      <xdr:row>16</xdr:row>
      <xdr:rowOff>123825</xdr:rowOff>
    </xdr:from>
    <xdr:to>
      <xdr:col>15</xdr:col>
      <xdr:colOff>428625</xdr:colOff>
      <xdr:row>16</xdr:row>
      <xdr:rowOff>123825</xdr:rowOff>
    </xdr:to>
    <xdr:sp macro="" textlink="">
      <xdr:nvSpPr>
        <xdr:cNvPr id="91662" name="Line 37190">
          <a:extLst>
            <a:ext uri="{FF2B5EF4-FFF2-40B4-BE49-F238E27FC236}">
              <a16:creationId xmlns:a16="http://schemas.microsoft.com/office/drawing/2014/main" id="{00000000-0008-0000-0000-00000E660100}"/>
            </a:ext>
          </a:extLst>
        </xdr:cNvPr>
        <xdr:cNvSpPr>
          <a:spLocks noChangeShapeType="1"/>
        </xdr:cNvSpPr>
      </xdr:nvSpPr>
      <xdr:spPr bwMode="auto">
        <a:xfrm flipH="1" flipV="1">
          <a:off x="8439150" y="3381375"/>
          <a:ext cx="2276475"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mc:AlternateContent xmlns:mc="http://schemas.openxmlformats.org/markup-compatibility/2006">
    <mc:Choice xmlns:a14="http://schemas.microsoft.com/office/drawing/2010/main" Requires="a14">
      <xdr:twoCellAnchor editAs="oneCell">
        <xdr:from>
          <xdr:col>12</xdr:col>
          <xdr:colOff>180975</xdr:colOff>
          <xdr:row>18</xdr:row>
          <xdr:rowOff>171450</xdr:rowOff>
        </xdr:from>
        <xdr:to>
          <xdr:col>13</xdr:col>
          <xdr:colOff>247650</xdr:colOff>
          <xdr:row>20</xdr:row>
          <xdr:rowOff>47625</xdr:rowOff>
        </xdr:to>
        <xdr:sp macro="" textlink="">
          <xdr:nvSpPr>
            <xdr:cNvPr id="40263" name="FontSelect" hidden="1">
              <a:extLst>
                <a:ext uri="{63B3BB69-23CF-44E3-9099-C40C66FF867C}">
                  <a14:compatExt spid="_x0000_s40263"/>
                </a:ext>
                <a:ext uri="{FF2B5EF4-FFF2-40B4-BE49-F238E27FC236}">
                  <a16:creationId xmlns:a16="http://schemas.microsoft.com/office/drawing/2014/main" id="{00000000-0008-0000-0000-0000479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504825</xdr:colOff>
          <xdr:row>18</xdr:row>
          <xdr:rowOff>123825</xdr:rowOff>
        </xdr:from>
        <xdr:to>
          <xdr:col>15</xdr:col>
          <xdr:colOff>523875</xdr:colOff>
          <xdr:row>20</xdr:row>
          <xdr:rowOff>66675</xdr:rowOff>
        </xdr:to>
        <xdr:sp macro="" textlink="">
          <xdr:nvSpPr>
            <xdr:cNvPr id="40377" name="AddString" hidden="1">
              <a:extLst>
                <a:ext uri="{63B3BB69-23CF-44E3-9099-C40C66FF867C}">
                  <a14:compatExt spid="_x0000_s40377"/>
                </a:ext>
                <a:ext uri="{FF2B5EF4-FFF2-40B4-BE49-F238E27FC236}">
                  <a16:creationId xmlns:a16="http://schemas.microsoft.com/office/drawing/2014/main" id="{00000000-0008-0000-0000-0000B99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238125</xdr:colOff>
          <xdr:row>17</xdr:row>
          <xdr:rowOff>9525</xdr:rowOff>
        </xdr:from>
        <xdr:to>
          <xdr:col>15</xdr:col>
          <xdr:colOff>704850</xdr:colOff>
          <xdr:row>18</xdr:row>
          <xdr:rowOff>66675</xdr:rowOff>
        </xdr:to>
        <xdr:sp macro="" textlink="">
          <xdr:nvSpPr>
            <xdr:cNvPr id="48317" name="Label 43197" hidden="1">
              <a:extLst>
                <a:ext uri="{63B3BB69-23CF-44E3-9099-C40C66FF867C}">
                  <a14:compatExt spid="_x0000_s48317"/>
                </a:ext>
                <a:ext uri="{FF2B5EF4-FFF2-40B4-BE49-F238E27FC236}">
                  <a16:creationId xmlns:a16="http://schemas.microsoft.com/office/drawing/2014/main" id="{00000000-0008-0000-0000-0000BDB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0" bIns="0" anchor="t" upright="1"/>
            <a:lstStyle/>
            <a:p>
              <a:pPr algn="l" rtl="0">
                <a:defRPr sz="1000"/>
              </a:pPr>
              <a:r>
                <a:rPr lang="nl-NL" sz="800" b="0" i="0" u="none" strike="noStrike" baseline="0">
                  <a:solidFill>
                    <a:srgbClr val="000000"/>
                  </a:solidFill>
                  <a:latin typeface="Segoe UI"/>
                  <a:cs typeface="Segoe UI"/>
                </a:rPr>
                <a:t>Type text in cells "B40..B44" (below animation pane)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323850</xdr:colOff>
          <xdr:row>18</xdr:row>
          <xdr:rowOff>161925</xdr:rowOff>
        </xdr:from>
        <xdr:to>
          <xdr:col>14</xdr:col>
          <xdr:colOff>390525</xdr:colOff>
          <xdr:row>20</xdr:row>
          <xdr:rowOff>38100</xdr:rowOff>
        </xdr:to>
        <xdr:sp macro="" textlink="">
          <xdr:nvSpPr>
            <xdr:cNvPr id="50205" name="Effect" hidden="1">
              <a:extLst>
                <a:ext uri="{63B3BB69-23CF-44E3-9099-C40C66FF867C}">
                  <a14:compatExt spid="_x0000_s50205"/>
                </a:ext>
                <a:ext uri="{FF2B5EF4-FFF2-40B4-BE49-F238E27FC236}">
                  <a16:creationId xmlns:a16="http://schemas.microsoft.com/office/drawing/2014/main" id="{00000000-0008-0000-0000-00001DC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657225</xdr:colOff>
          <xdr:row>0</xdr:row>
          <xdr:rowOff>133350</xdr:rowOff>
        </xdr:from>
        <xdr:to>
          <xdr:col>15</xdr:col>
          <xdr:colOff>723900</xdr:colOff>
          <xdr:row>2</xdr:row>
          <xdr:rowOff>9525</xdr:rowOff>
        </xdr:to>
        <xdr:sp macro="" textlink="">
          <xdr:nvSpPr>
            <xdr:cNvPr id="57427" name="viewLEDS" hidden="1">
              <a:extLst>
                <a:ext uri="{63B3BB69-23CF-44E3-9099-C40C66FF867C}">
                  <a14:compatExt spid="_x0000_s57427"/>
                </a:ext>
                <a:ext uri="{FF2B5EF4-FFF2-40B4-BE49-F238E27FC236}">
                  <a16:creationId xmlns:a16="http://schemas.microsoft.com/office/drawing/2014/main" id="{00000000-0008-0000-0000-000053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276225</xdr:colOff>
          <xdr:row>18</xdr:row>
          <xdr:rowOff>66675</xdr:rowOff>
        </xdr:from>
        <xdr:to>
          <xdr:col>8</xdr:col>
          <xdr:colOff>571500</xdr:colOff>
          <xdr:row>20</xdr:row>
          <xdr:rowOff>9525</xdr:rowOff>
        </xdr:to>
        <xdr:sp macro="" textlink="">
          <xdr:nvSpPr>
            <xdr:cNvPr id="60218" name="BtnAllBufs" hidden="1">
              <a:extLst>
                <a:ext uri="{63B3BB69-23CF-44E3-9099-C40C66FF867C}">
                  <a14:compatExt spid="_x0000_s60218"/>
                </a:ext>
                <a:ext uri="{FF2B5EF4-FFF2-40B4-BE49-F238E27FC236}">
                  <a16:creationId xmlns:a16="http://schemas.microsoft.com/office/drawing/2014/main" id="{00000000-0008-0000-0000-00003AEB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6</xdr:col>
      <xdr:colOff>152400</xdr:colOff>
      <xdr:row>18</xdr:row>
      <xdr:rowOff>19050</xdr:rowOff>
    </xdr:from>
    <xdr:to>
      <xdr:col>9</xdr:col>
      <xdr:colOff>0</xdr:colOff>
      <xdr:row>18</xdr:row>
      <xdr:rowOff>19050</xdr:rowOff>
    </xdr:to>
    <xdr:sp macro="" textlink="">
      <xdr:nvSpPr>
        <xdr:cNvPr id="91663" name="Line 37190">
          <a:extLst>
            <a:ext uri="{FF2B5EF4-FFF2-40B4-BE49-F238E27FC236}">
              <a16:creationId xmlns:a16="http://schemas.microsoft.com/office/drawing/2014/main" id="{00000000-0008-0000-0000-00000F660100}"/>
            </a:ext>
          </a:extLst>
        </xdr:cNvPr>
        <xdr:cNvSpPr>
          <a:spLocks noChangeShapeType="1"/>
        </xdr:cNvSpPr>
      </xdr:nvSpPr>
      <xdr:spPr bwMode="auto">
        <a:xfrm flipH="1" flipV="1">
          <a:off x="4267200" y="3638550"/>
          <a:ext cx="190500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mc:AlternateContent xmlns:mc="http://schemas.openxmlformats.org/markup-compatibility/2006">
    <mc:Choice xmlns:a14="http://schemas.microsoft.com/office/drawing/2010/main" Requires="a14">
      <xdr:twoCellAnchor>
        <xdr:from>
          <xdr:col>15</xdr:col>
          <xdr:colOff>19050</xdr:colOff>
          <xdr:row>6</xdr:row>
          <xdr:rowOff>114300</xdr:rowOff>
        </xdr:from>
        <xdr:to>
          <xdr:col>15</xdr:col>
          <xdr:colOff>723900</xdr:colOff>
          <xdr:row>8</xdr:row>
          <xdr:rowOff>76200</xdr:rowOff>
        </xdr:to>
        <xdr:sp macro="" textlink="">
          <xdr:nvSpPr>
            <xdr:cNvPr id="90785" name="Label 81569" hidden="1">
              <a:extLst>
                <a:ext uri="{63B3BB69-23CF-44E3-9099-C40C66FF867C}">
                  <a14:compatExt spid="_x0000_s90785"/>
                </a:ext>
                <a:ext uri="{FF2B5EF4-FFF2-40B4-BE49-F238E27FC236}">
                  <a16:creationId xmlns:a16="http://schemas.microsoft.com/office/drawing/2014/main" id="{00000000-0008-0000-0000-0000A162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0" bIns="0" anchor="t" upright="1"/>
            <a:lstStyle/>
            <a:p>
              <a:pPr algn="l" rtl="0">
                <a:defRPr sz="1000"/>
              </a:pPr>
              <a:r>
                <a:rPr lang="nl-NL" sz="800" b="0" i="0" u="none" strike="noStrike" baseline="0">
                  <a:solidFill>
                    <a:srgbClr val="000000"/>
                  </a:solidFill>
                  <a:latin typeface="Segoe UI"/>
                  <a:cs typeface="Segoe UI"/>
                </a:rPr>
                <a:t>Ruud Rademaker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209550</xdr:colOff>
          <xdr:row>22</xdr:row>
          <xdr:rowOff>114300</xdr:rowOff>
        </xdr:from>
        <xdr:to>
          <xdr:col>15</xdr:col>
          <xdr:colOff>400050</xdr:colOff>
          <xdr:row>25</xdr:row>
          <xdr:rowOff>104775</xdr:rowOff>
        </xdr:to>
        <xdr:sp macro="" textlink="">
          <xdr:nvSpPr>
            <xdr:cNvPr id="90792" name="btnEraseLed" hidden="1">
              <a:extLst>
                <a:ext uri="{63B3BB69-23CF-44E3-9099-C40C66FF867C}">
                  <a14:compatExt spid="_x0000_s90792"/>
                </a:ext>
                <a:ext uri="{FF2B5EF4-FFF2-40B4-BE49-F238E27FC236}">
                  <a16:creationId xmlns:a16="http://schemas.microsoft.com/office/drawing/2014/main" id="{00000000-0008-0000-0000-0000A862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209550</xdr:colOff>
          <xdr:row>25</xdr:row>
          <xdr:rowOff>171450</xdr:rowOff>
        </xdr:from>
        <xdr:to>
          <xdr:col>15</xdr:col>
          <xdr:colOff>400050</xdr:colOff>
          <xdr:row>28</xdr:row>
          <xdr:rowOff>161925</xdr:rowOff>
        </xdr:to>
        <xdr:sp macro="" textlink="">
          <xdr:nvSpPr>
            <xdr:cNvPr id="90793" name="BtnSendToDalek" hidden="1">
              <a:extLst>
                <a:ext uri="{63B3BB69-23CF-44E3-9099-C40C66FF867C}">
                  <a14:compatExt spid="_x0000_s90793"/>
                </a:ext>
                <a:ext uri="{FF2B5EF4-FFF2-40B4-BE49-F238E27FC236}">
                  <a16:creationId xmlns:a16="http://schemas.microsoft.com/office/drawing/2014/main" id="{00000000-0008-0000-0000-0000A962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209550</xdr:colOff>
          <xdr:row>29</xdr:row>
          <xdr:rowOff>85725</xdr:rowOff>
        </xdr:from>
        <xdr:to>
          <xdr:col>15</xdr:col>
          <xdr:colOff>400050</xdr:colOff>
          <xdr:row>32</xdr:row>
          <xdr:rowOff>76200</xdr:rowOff>
        </xdr:to>
        <xdr:sp macro="" textlink="">
          <xdr:nvSpPr>
            <xdr:cNvPr id="90794" name="btnPlayBuffer" hidden="1">
              <a:extLst>
                <a:ext uri="{63B3BB69-23CF-44E3-9099-C40C66FF867C}">
                  <a14:compatExt spid="_x0000_s90794"/>
                </a:ext>
                <a:ext uri="{FF2B5EF4-FFF2-40B4-BE49-F238E27FC236}">
                  <a16:creationId xmlns:a16="http://schemas.microsoft.com/office/drawing/2014/main" id="{00000000-0008-0000-0000-0000AA62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209550</xdr:colOff>
          <xdr:row>33</xdr:row>
          <xdr:rowOff>0</xdr:rowOff>
        </xdr:from>
        <xdr:to>
          <xdr:col>15</xdr:col>
          <xdr:colOff>400050</xdr:colOff>
          <xdr:row>38</xdr:row>
          <xdr:rowOff>76200</xdr:rowOff>
        </xdr:to>
        <xdr:sp macro="" textlink="">
          <xdr:nvSpPr>
            <xdr:cNvPr id="90795" name="btnStopPlaying" hidden="1">
              <a:extLst>
                <a:ext uri="{63B3BB69-23CF-44E3-9099-C40C66FF867C}">
                  <a14:compatExt spid="_x0000_s90795"/>
                </a:ext>
                <a:ext uri="{FF2B5EF4-FFF2-40B4-BE49-F238E27FC236}">
                  <a16:creationId xmlns:a16="http://schemas.microsoft.com/office/drawing/2014/main" id="{00000000-0008-0000-0000-0000AB62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114300</xdr:colOff>
          <xdr:row>9</xdr:row>
          <xdr:rowOff>57150</xdr:rowOff>
        </xdr:from>
        <xdr:to>
          <xdr:col>15</xdr:col>
          <xdr:colOff>666750</xdr:colOff>
          <xdr:row>9</xdr:row>
          <xdr:rowOff>466725</xdr:rowOff>
        </xdr:to>
        <xdr:sp macro="" textlink="">
          <xdr:nvSpPr>
            <xdr:cNvPr id="90796" name="btnPlayB10" hidden="1">
              <a:extLst>
                <a:ext uri="{63B3BB69-23CF-44E3-9099-C40C66FF867C}">
                  <a14:compatExt spid="_x0000_s90796"/>
                </a:ext>
                <a:ext uri="{FF2B5EF4-FFF2-40B4-BE49-F238E27FC236}">
                  <a16:creationId xmlns:a16="http://schemas.microsoft.com/office/drawing/2014/main" id="{00000000-0008-0000-0000-0000AC62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390525</xdr:colOff>
          <xdr:row>11</xdr:row>
          <xdr:rowOff>133350</xdr:rowOff>
        </xdr:from>
        <xdr:to>
          <xdr:col>2</xdr:col>
          <xdr:colOff>542925</xdr:colOff>
          <xdr:row>13</xdr:row>
          <xdr:rowOff>28575</xdr:rowOff>
        </xdr:to>
        <xdr:sp macro="" textlink="">
          <xdr:nvSpPr>
            <xdr:cNvPr id="90797" name="CbHT16K33" hidden="1">
              <a:extLst>
                <a:ext uri="{63B3BB69-23CF-44E3-9099-C40C66FF867C}">
                  <a14:compatExt spid="_x0000_s90797"/>
                </a:ext>
                <a:ext uri="{FF2B5EF4-FFF2-40B4-BE49-F238E27FC236}">
                  <a16:creationId xmlns:a16="http://schemas.microsoft.com/office/drawing/2014/main" id="{00000000-0008-0000-0000-0000AD62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127000</xdr:colOff>
      <xdr:row>0</xdr:row>
      <xdr:rowOff>127000</xdr:rowOff>
    </xdr:from>
    <xdr:to>
      <xdr:col>14</xdr:col>
      <xdr:colOff>622300</xdr:colOff>
      <xdr:row>8</xdr:row>
      <xdr:rowOff>139700</xdr:rowOff>
    </xdr:to>
    <xdr:sp macro="" textlink="">
      <xdr:nvSpPr>
        <xdr:cNvPr id="94323" name="Dalek">
          <a:extLst>
            <a:ext uri="{FF2B5EF4-FFF2-40B4-BE49-F238E27FC236}">
              <a16:creationId xmlns:a16="http://schemas.microsoft.com/office/drawing/2014/main" id="{1EA6EC39-74BC-15FF-4D21-65CA94630AEE}"/>
            </a:ext>
          </a:extLst>
        </xdr:cNvPr>
        <xdr:cNvSpPr/>
      </xdr:nvSpPr>
      <xdr:spPr>
        <a:xfrm>
          <a:off x="127000" y="127000"/>
          <a:ext cx="10096500" cy="1460500"/>
        </a:xfrm>
        <a:prstGeom prst="rect">
          <a:avLst/>
        </a:prstGeom>
        <a:solidFill>
          <a:srgbClr val="C0C0C0"/>
        </a:soli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0</xdr:col>
      <xdr:colOff>228600</xdr:colOff>
      <xdr:row>1</xdr:row>
      <xdr:rowOff>41275</xdr:rowOff>
    </xdr:from>
    <xdr:to>
      <xdr:col>0</xdr:col>
      <xdr:colOff>609600</xdr:colOff>
      <xdr:row>8</xdr:row>
      <xdr:rowOff>44450</xdr:rowOff>
    </xdr:to>
    <xdr:sp macro="SetHorDir" textlink="">
      <xdr:nvSpPr>
        <xdr:cNvPr id="94324" name="DalekCol01">
          <a:extLst>
            <a:ext uri="{FF2B5EF4-FFF2-40B4-BE49-F238E27FC236}">
              <a16:creationId xmlns:a16="http://schemas.microsoft.com/office/drawing/2014/main" id="{E8F500A0-3743-CA14-5CD4-10E198FB2F8D}"/>
            </a:ext>
          </a:extLst>
        </xdr:cNvPr>
        <xdr:cNvSpPr/>
      </xdr:nvSpPr>
      <xdr:spPr>
        <a:xfrm>
          <a:off x="228600" y="222250"/>
          <a:ext cx="381000" cy="1270000"/>
        </a:xfrm>
        <a:prstGeom prst="rect">
          <a:avLst/>
        </a:prstGeom>
        <a:solidFill>
          <a:srgbClr val="969696"/>
        </a:soli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0</xdr:col>
      <xdr:colOff>558800</xdr:colOff>
      <xdr:row>6</xdr:row>
      <xdr:rowOff>57150</xdr:rowOff>
    </xdr:from>
    <xdr:to>
      <xdr:col>0</xdr:col>
      <xdr:colOff>558800</xdr:colOff>
      <xdr:row>8</xdr:row>
      <xdr:rowOff>76200</xdr:rowOff>
    </xdr:to>
    <xdr:cxnSp macro="SetHorDir">
      <xdr:nvCxnSpPr>
        <xdr:cNvPr id="94325" name="DalekColDir01">
          <a:extLst>
            <a:ext uri="{FF2B5EF4-FFF2-40B4-BE49-F238E27FC236}">
              <a16:creationId xmlns:a16="http://schemas.microsoft.com/office/drawing/2014/main" id="{B5AF7C50-3497-06C8-B025-F34209F6E1EC}"/>
            </a:ext>
          </a:extLst>
        </xdr:cNvPr>
        <xdr:cNvCxnSpPr/>
      </xdr:nvCxnSpPr>
      <xdr:spPr>
        <a:xfrm flipV="1">
          <a:off x="558800" y="1143000"/>
          <a:ext cx="0" cy="381000"/>
        </a:xfrm>
        <a:prstGeom prst="line">
          <a:avLst/>
        </a:prstGeom>
        <a:noFill/>
        <a:ln w="9525" cap="flat" cmpd="sng" algn="ctr">
          <a:noFill/>
          <a:prstDash val="solid"/>
          <a:tailEnd type="triangle" w="med" len="med"/>
        </a:ln>
        <a:effectLst/>
        <a:extLst>
          <a:ext uri="{91240B29-F687-4F45-9708-019B960494DF}">
            <a14:hiddenLine xmlns:a14="http://schemas.microsoft.com/office/drawing/2010/main" w="9525" cap="flat" cmpd="sng" algn="ctr">
              <a:solidFill>
                <a:schemeClr val="accent1">
                  <a:shade val="95000"/>
                  <a:satMod val="105000"/>
                </a:schemeClr>
              </a:solidFill>
              <a:prstDash val="solid"/>
              <a:tailEnd type="triangle" w="med" len="med"/>
            </a14:hiddenLine>
          </a:ext>
        </a:extLst>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317500</xdr:colOff>
      <xdr:row>1</xdr:row>
      <xdr:rowOff>73025</xdr:rowOff>
    </xdr:from>
    <xdr:to>
      <xdr:col>0</xdr:col>
      <xdr:colOff>508000</xdr:colOff>
      <xdr:row>2</xdr:row>
      <xdr:rowOff>82550</xdr:rowOff>
    </xdr:to>
    <xdr:sp macro="SetLED" textlink="">
      <xdr:nvSpPr>
        <xdr:cNvPr id="94326" name="DalekLED101">
          <a:extLst>
            <a:ext uri="{FF2B5EF4-FFF2-40B4-BE49-F238E27FC236}">
              <a16:creationId xmlns:a16="http://schemas.microsoft.com/office/drawing/2014/main" id="{0078D74A-1EA2-C21B-7889-64EFEA155EF8}"/>
            </a:ext>
          </a:extLst>
        </xdr:cNvPr>
        <xdr:cNvSpPr/>
      </xdr:nvSpPr>
      <xdr:spPr>
        <a:xfrm>
          <a:off x="317500" y="254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0</xdr:col>
      <xdr:colOff>317500</xdr:colOff>
      <xdr:row>2</xdr:row>
      <xdr:rowOff>146050</xdr:rowOff>
    </xdr:from>
    <xdr:to>
      <xdr:col>0</xdr:col>
      <xdr:colOff>508000</xdr:colOff>
      <xdr:row>3</xdr:row>
      <xdr:rowOff>155575</xdr:rowOff>
    </xdr:to>
    <xdr:sp macro="SetLED" textlink="">
      <xdr:nvSpPr>
        <xdr:cNvPr id="94327" name="DalekLED201">
          <a:extLst>
            <a:ext uri="{FF2B5EF4-FFF2-40B4-BE49-F238E27FC236}">
              <a16:creationId xmlns:a16="http://schemas.microsoft.com/office/drawing/2014/main" id="{49B22FD8-D836-7FAF-CC67-7BD83B9E269D}"/>
            </a:ext>
          </a:extLst>
        </xdr:cNvPr>
        <xdr:cNvSpPr/>
      </xdr:nvSpPr>
      <xdr:spPr>
        <a:xfrm>
          <a:off x="317500" y="508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0</xdr:col>
      <xdr:colOff>317500</xdr:colOff>
      <xdr:row>4</xdr:row>
      <xdr:rowOff>38100</xdr:rowOff>
    </xdr:from>
    <xdr:to>
      <xdr:col>0</xdr:col>
      <xdr:colOff>508000</xdr:colOff>
      <xdr:row>5</xdr:row>
      <xdr:rowOff>47625</xdr:rowOff>
    </xdr:to>
    <xdr:sp macro="SetLED" textlink="">
      <xdr:nvSpPr>
        <xdr:cNvPr id="94328" name="DalekLED301">
          <a:extLst>
            <a:ext uri="{FF2B5EF4-FFF2-40B4-BE49-F238E27FC236}">
              <a16:creationId xmlns:a16="http://schemas.microsoft.com/office/drawing/2014/main" id="{3A5FA149-E02A-9C1C-E177-98BE3E20E5F5}"/>
            </a:ext>
          </a:extLst>
        </xdr:cNvPr>
        <xdr:cNvSpPr/>
      </xdr:nvSpPr>
      <xdr:spPr>
        <a:xfrm>
          <a:off x="317500" y="762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0</xdr:col>
      <xdr:colOff>317500</xdr:colOff>
      <xdr:row>5</xdr:row>
      <xdr:rowOff>111125</xdr:rowOff>
    </xdr:from>
    <xdr:to>
      <xdr:col>0</xdr:col>
      <xdr:colOff>508000</xdr:colOff>
      <xdr:row>6</xdr:row>
      <xdr:rowOff>120650</xdr:rowOff>
    </xdr:to>
    <xdr:sp macro="SetLED" textlink="">
      <xdr:nvSpPr>
        <xdr:cNvPr id="94329" name="DalekLED401">
          <a:extLst>
            <a:ext uri="{FF2B5EF4-FFF2-40B4-BE49-F238E27FC236}">
              <a16:creationId xmlns:a16="http://schemas.microsoft.com/office/drawing/2014/main" id="{FC20A446-0747-FFCE-977D-D28E4E91B9E2}"/>
            </a:ext>
          </a:extLst>
        </xdr:cNvPr>
        <xdr:cNvSpPr/>
      </xdr:nvSpPr>
      <xdr:spPr>
        <a:xfrm>
          <a:off x="317500" y="1016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0</xdr:col>
      <xdr:colOff>317500</xdr:colOff>
      <xdr:row>7</xdr:row>
      <xdr:rowOff>3175</xdr:rowOff>
    </xdr:from>
    <xdr:to>
      <xdr:col>0</xdr:col>
      <xdr:colOff>508000</xdr:colOff>
      <xdr:row>8</xdr:row>
      <xdr:rowOff>12700</xdr:rowOff>
    </xdr:to>
    <xdr:sp macro="SetLED" textlink="">
      <xdr:nvSpPr>
        <xdr:cNvPr id="94330" name="DalekLED501">
          <a:extLst>
            <a:ext uri="{FF2B5EF4-FFF2-40B4-BE49-F238E27FC236}">
              <a16:creationId xmlns:a16="http://schemas.microsoft.com/office/drawing/2014/main" id="{5EAB7AD3-9C05-F562-10B6-9FED2BD59E36}"/>
            </a:ext>
          </a:extLst>
        </xdr:cNvPr>
        <xdr:cNvSpPr/>
      </xdr:nvSpPr>
      <xdr:spPr>
        <a:xfrm>
          <a:off x="317500" y="1270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0</xdr:col>
      <xdr:colOff>609600</xdr:colOff>
      <xdr:row>1</xdr:row>
      <xdr:rowOff>41275</xdr:rowOff>
    </xdr:from>
    <xdr:to>
      <xdr:col>1</xdr:col>
      <xdr:colOff>304800</xdr:colOff>
      <xdr:row>8</xdr:row>
      <xdr:rowOff>44450</xdr:rowOff>
    </xdr:to>
    <xdr:sp macro="SetHorDir" textlink="">
      <xdr:nvSpPr>
        <xdr:cNvPr id="94331" name="DalekCol02">
          <a:extLst>
            <a:ext uri="{FF2B5EF4-FFF2-40B4-BE49-F238E27FC236}">
              <a16:creationId xmlns:a16="http://schemas.microsoft.com/office/drawing/2014/main" id="{6432C2BE-E3C4-1917-D8CE-00E9C6FB971B}"/>
            </a:ext>
          </a:extLst>
        </xdr:cNvPr>
        <xdr:cNvSpPr/>
      </xdr:nvSpPr>
      <xdr:spPr>
        <a:xfrm>
          <a:off x="609600" y="222250"/>
          <a:ext cx="381000" cy="1270000"/>
        </a:xfrm>
        <a:prstGeom prst="rect">
          <a:avLst/>
        </a:prstGeom>
        <a:solidFill>
          <a:srgbClr val="C0C0C0"/>
        </a:soli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1</xdr:col>
      <xdr:colOff>254000</xdr:colOff>
      <xdr:row>6</xdr:row>
      <xdr:rowOff>57150</xdr:rowOff>
    </xdr:from>
    <xdr:to>
      <xdr:col>1</xdr:col>
      <xdr:colOff>254000</xdr:colOff>
      <xdr:row>8</xdr:row>
      <xdr:rowOff>76200</xdr:rowOff>
    </xdr:to>
    <xdr:cxnSp macro="SetHorDir">
      <xdr:nvCxnSpPr>
        <xdr:cNvPr id="94332" name="DalekColDir02">
          <a:extLst>
            <a:ext uri="{FF2B5EF4-FFF2-40B4-BE49-F238E27FC236}">
              <a16:creationId xmlns:a16="http://schemas.microsoft.com/office/drawing/2014/main" id="{1AB25BAD-1B7A-D96F-D1A4-76051A36371A}"/>
            </a:ext>
          </a:extLst>
        </xdr:cNvPr>
        <xdr:cNvCxnSpPr/>
      </xdr:nvCxnSpPr>
      <xdr:spPr>
        <a:xfrm flipV="1">
          <a:off x="939800" y="1143000"/>
          <a:ext cx="0" cy="381000"/>
        </a:xfrm>
        <a:prstGeom prst="line">
          <a:avLst/>
        </a:prstGeom>
        <a:noFill/>
        <a:ln w="9525" cap="flat" cmpd="sng" algn="ctr">
          <a:noFill/>
          <a:prstDash val="solid"/>
          <a:tailEnd type="triangle" w="med" len="med"/>
        </a:ln>
        <a:effectLst/>
        <a:extLst>
          <a:ext uri="{91240B29-F687-4F45-9708-019B960494DF}">
            <a14:hiddenLine xmlns:a14="http://schemas.microsoft.com/office/drawing/2010/main" w="9525" cap="flat" cmpd="sng" algn="ctr">
              <a:solidFill>
                <a:schemeClr val="accent1">
                  <a:shade val="95000"/>
                  <a:satMod val="105000"/>
                </a:schemeClr>
              </a:solidFill>
              <a:prstDash val="solid"/>
              <a:tailEnd type="triangle" w="med" len="med"/>
            </a14:hiddenLine>
          </a:ext>
        </a:extLst>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12700</xdr:colOff>
      <xdr:row>1</xdr:row>
      <xdr:rowOff>73025</xdr:rowOff>
    </xdr:from>
    <xdr:to>
      <xdr:col>1</xdr:col>
      <xdr:colOff>203200</xdr:colOff>
      <xdr:row>2</xdr:row>
      <xdr:rowOff>82550</xdr:rowOff>
    </xdr:to>
    <xdr:sp macro="SetLED" textlink="">
      <xdr:nvSpPr>
        <xdr:cNvPr id="94333" name="DalekLED102">
          <a:extLst>
            <a:ext uri="{FF2B5EF4-FFF2-40B4-BE49-F238E27FC236}">
              <a16:creationId xmlns:a16="http://schemas.microsoft.com/office/drawing/2014/main" id="{C21FAD3F-D374-F3AC-1489-81E1A889BD61}"/>
            </a:ext>
          </a:extLst>
        </xdr:cNvPr>
        <xdr:cNvSpPr/>
      </xdr:nvSpPr>
      <xdr:spPr>
        <a:xfrm>
          <a:off x="698500" y="254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1</xdr:col>
      <xdr:colOff>12700</xdr:colOff>
      <xdr:row>2</xdr:row>
      <xdr:rowOff>146050</xdr:rowOff>
    </xdr:from>
    <xdr:to>
      <xdr:col>1</xdr:col>
      <xdr:colOff>203200</xdr:colOff>
      <xdr:row>3</xdr:row>
      <xdr:rowOff>155575</xdr:rowOff>
    </xdr:to>
    <xdr:sp macro="SetLED" textlink="">
      <xdr:nvSpPr>
        <xdr:cNvPr id="94334" name="DalekLED202">
          <a:extLst>
            <a:ext uri="{FF2B5EF4-FFF2-40B4-BE49-F238E27FC236}">
              <a16:creationId xmlns:a16="http://schemas.microsoft.com/office/drawing/2014/main" id="{4DE841A3-EA88-2444-007D-326B686DD0E6}"/>
            </a:ext>
          </a:extLst>
        </xdr:cNvPr>
        <xdr:cNvSpPr/>
      </xdr:nvSpPr>
      <xdr:spPr>
        <a:xfrm>
          <a:off x="698500" y="508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1</xdr:col>
      <xdr:colOff>12700</xdr:colOff>
      <xdr:row>4</xdr:row>
      <xdr:rowOff>38100</xdr:rowOff>
    </xdr:from>
    <xdr:to>
      <xdr:col>1</xdr:col>
      <xdr:colOff>203200</xdr:colOff>
      <xdr:row>5</xdr:row>
      <xdr:rowOff>47625</xdr:rowOff>
    </xdr:to>
    <xdr:sp macro="SetLED" textlink="">
      <xdr:nvSpPr>
        <xdr:cNvPr id="94335" name="DalekLED302">
          <a:extLst>
            <a:ext uri="{FF2B5EF4-FFF2-40B4-BE49-F238E27FC236}">
              <a16:creationId xmlns:a16="http://schemas.microsoft.com/office/drawing/2014/main" id="{D60E3C02-D58C-E550-A1E1-686B300F9078}"/>
            </a:ext>
          </a:extLst>
        </xdr:cNvPr>
        <xdr:cNvSpPr/>
      </xdr:nvSpPr>
      <xdr:spPr>
        <a:xfrm>
          <a:off x="698500" y="762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1</xdr:col>
      <xdr:colOff>12700</xdr:colOff>
      <xdr:row>5</xdr:row>
      <xdr:rowOff>111125</xdr:rowOff>
    </xdr:from>
    <xdr:to>
      <xdr:col>1</xdr:col>
      <xdr:colOff>203200</xdr:colOff>
      <xdr:row>6</xdr:row>
      <xdr:rowOff>120650</xdr:rowOff>
    </xdr:to>
    <xdr:sp macro="SetLED" textlink="">
      <xdr:nvSpPr>
        <xdr:cNvPr id="94336" name="DalekLED402">
          <a:extLst>
            <a:ext uri="{FF2B5EF4-FFF2-40B4-BE49-F238E27FC236}">
              <a16:creationId xmlns:a16="http://schemas.microsoft.com/office/drawing/2014/main" id="{0AA2A7A8-B3F2-C9B7-D076-78E895FCBF6F}"/>
            </a:ext>
          </a:extLst>
        </xdr:cNvPr>
        <xdr:cNvSpPr/>
      </xdr:nvSpPr>
      <xdr:spPr>
        <a:xfrm>
          <a:off x="698500" y="1016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1</xdr:col>
      <xdr:colOff>12700</xdr:colOff>
      <xdr:row>7</xdr:row>
      <xdr:rowOff>3175</xdr:rowOff>
    </xdr:from>
    <xdr:to>
      <xdr:col>1</xdr:col>
      <xdr:colOff>203200</xdr:colOff>
      <xdr:row>8</xdr:row>
      <xdr:rowOff>12700</xdr:rowOff>
    </xdr:to>
    <xdr:sp macro="SetLED" textlink="">
      <xdr:nvSpPr>
        <xdr:cNvPr id="94337" name="DalekLED502">
          <a:extLst>
            <a:ext uri="{FF2B5EF4-FFF2-40B4-BE49-F238E27FC236}">
              <a16:creationId xmlns:a16="http://schemas.microsoft.com/office/drawing/2014/main" id="{5E5BDC48-7B3C-8FE4-AF9A-6829E3BE84DF}"/>
            </a:ext>
          </a:extLst>
        </xdr:cNvPr>
        <xdr:cNvSpPr/>
      </xdr:nvSpPr>
      <xdr:spPr>
        <a:xfrm>
          <a:off x="698500" y="1270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1</xdr:col>
      <xdr:colOff>304800</xdr:colOff>
      <xdr:row>1</xdr:row>
      <xdr:rowOff>41275</xdr:rowOff>
    </xdr:from>
    <xdr:to>
      <xdr:col>2</xdr:col>
      <xdr:colOff>0</xdr:colOff>
      <xdr:row>8</xdr:row>
      <xdr:rowOff>44450</xdr:rowOff>
    </xdr:to>
    <xdr:sp macro="SetHorDir" textlink="">
      <xdr:nvSpPr>
        <xdr:cNvPr id="94338" name="DalekCol03">
          <a:extLst>
            <a:ext uri="{FF2B5EF4-FFF2-40B4-BE49-F238E27FC236}">
              <a16:creationId xmlns:a16="http://schemas.microsoft.com/office/drawing/2014/main" id="{31E8625E-5EF7-CFD6-73A5-13AA66F008F7}"/>
            </a:ext>
          </a:extLst>
        </xdr:cNvPr>
        <xdr:cNvSpPr/>
      </xdr:nvSpPr>
      <xdr:spPr>
        <a:xfrm>
          <a:off x="990600" y="222250"/>
          <a:ext cx="381000" cy="1270000"/>
        </a:xfrm>
        <a:prstGeom prst="rect">
          <a:avLst/>
        </a:prstGeom>
        <a:solidFill>
          <a:srgbClr val="969696"/>
        </a:soli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1</xdr:col>
      <xdr:colOff>635000</xdr:colOff>
      <xdr:row>6</xdr:row>
      <xdr:rowOff>57150</xdr:rowOff>
    </xdr:from>
    <xdr:to>
      <xdr:col>1</xdr:col>
      <xdr:colOff>635000</xdr:colOff>
      <xdr:row>8</xdr:row>
      <xdr:rowOff>76200</xdr:rowOff>
    </xdr:to>
    <xdr:cxnSp macro="SetHorDir">
      <xdr:nvCxnSpPr>
        <xdr:cNvPr id="94339" name="DalekColDir03">
          <a:extLst>
            <a:ext uri="{FF2B5EF4-FFF2-40B4-BE49-F238E27FC236}">
              <a16:creationId xmlns:a16="http://schemas.microsoft.com/office/drawing/2014/main" id="{816FA190-21FD-4F27-1C14-65894ED5834B}"/>
            </a:ext>
          </a:extLst>
        </xdr:cNvPr>
        <xdr:cNvCxnSpPr/>
      </xdr:nvCxnSpPr>
      <xdr:spPr>
        <a:xfrm flipV="1">
          <a:off x="1320800" y="1143000"/>
          <a:ext cx="0" cy="381000"/>
        </a:xfrm>
        <a:prstGeom prst="line">
          <a:avLst/>
        </a:prstGeom>
        <a:noFill/>
        <a:ln w="9525" cap="flat" cmpd="sng" algn="ctr">
          <a:noFill/>
          <a:prstDash val="solid"/>
          <a:tailEnd type="triangle" w="med" len="med"/>
        </a:ln>
        <a:effectLst/>
        <a:extLst>
          <a:ext uri="{91240B29-F687-4F45-9708-019B960494DF}">
            <a14:hiddenLine xmlns:a14="http://schemas.microsoft.com/office/drawing/2010/main" w="9525" cap="flat" cmpd="sng" algn="ctr">
              <a:solidFill>
                <a:schemeClr val="accent1">
                  <a:shade val="95000"/>
                  <a:satMod val="105000"/>
                </a:schemeClr>
              </a:solidFill>
              <a:prstDash val="solid"/>
              <a:tailEnd type="triangle" w="med" len="med"/>
            </a14:hiddenLine>
          </a:ext>
        </a:extLst>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393700</xdr:colOff>
      <xdr:row>1</xdr:row>
      <xdr:rowOff>73025</xdr:rowOff>
    </xdr:from>
    <xdr:to>
      <xdr:col>1</xdr:col>
      <xdr:colOff>584200</xdr:colOff>
      <xdr:row>2</xdr:row>
      <xdr:rowOff>82550</xdr:rowOff>
    </xdr:to>
    <xdr:sp macro="SetLED" textlink="">
      <xdr:nvSpPr>
        <xdr:cNvPr id="94340" name="DalekLED103">
          <a:extLst>
            <a:ext uri="{FF2B5EF4-FFF2-40B4-BE49-F238E27FC236}">
              <a16:creationId xmlns:a16="http://schemas.microsoft.com/office/drawing/2014/main" id="{7841DB05-81D8-BCE9-F670-57B7E9C7D4D1}"/>
            </a:ext>
          </a:extLst>
        </xdr:cNvPr>
        <xdr:cNvSpPr/>
      </xdr:nvSpPr>
      <xdr:spPr>
        <a:xfrm>
          <a:off x="1079500" y="254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1</xdr:col>
      <xdr:colOff>393700</xdr:colOff>
      <xdr:row>2</xdr:row>
      <xdr:rowOff>146050</xdr:rowOff>
    </xdr:from>
    <xdr:to>
      <xdr:col>1</xdr:col>
      <xdr:colOff>584200</xdr:colOff>
      <xdr:row>3</xdr:row>
      <xdr:rowOff>155575</xdr:rowOff>
    </xdr:to>
    <xdr:sp macro="SetLED" textlink="">
      <xdr:nvSpPr>
        <xdr:cNvPr id="94341" name="DalekLED203">
          <a:extLst>
            <a:ext uri="{FF2B5EF4-FFF2-40B4-BE49-F238E27FC236}">
              <a16:creationId xmlns:a16="http://schemas.microsoft.com/office/drawing/2014/main" id="{7752C201-5C11-24FB-4136-C06AFB5CD6C9}"/>
            </a:ext>
          </a:extLst>
        </xdr:cNvPr>
        <xdr:cNvSpPr/>
      </xdr:nvSpPr>
      <xdr:spPr>
        <a:xfrm>
          <a:off x="1079500" y="508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1</xdr:col>
      <xdr:colOff>393700</xdr:colOff>
      <xdr:row>4</xdr:row>
      <xdr:rowOff>38100</xdr:rowOff>
    </xdr:from>
    <xdr:to>
      <xdr:col>1</xdr:col>
      <xdr:colOff>584200</xdr:colOff>
      <xdr:row>5</xdr:row>
      <xdr:rowOff>47625</xdr:rowOff>
    </xdr:to>
    <xdr:sp macro="SetLED" textlink="">
      <xdr:nvSpPr>
        <xdr:cNvPr id="94342" name="DalekLED303">
          <a:extLst>
            <a:ext uri="{FF2B5EF4-FFF2-40B4-BE49-F238E27FC236}">
              <a16:creationId xmlns:a16="http://schemas.microsoft.com/office/drawing/2014/main" id="{2AE4A922-A973-C503-C8B5-EED992BAB49E}"/>
            </a:ext>
          </a:extLst>
        </xdr:cNvPr>
        <xdr:cNvSpPr/>
      </xdr:nvSpPr>
      <xdr:spPr>
        <a:xfrm>
          <a:off x="1079500" y="762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1</xdr:col>
      <xdr:colOff>393700</xdr:colOff>
      <xdr:row>5</xdr:row>
      <xdr:rowOff>111125</xdr:rowOff>
    </xdr:from>
    <xdr:to>
      <xdr:col>1</xdr:col>
      <xdr:colOff>584200</xdr:colOff>
      <xdr:row>6</xdr:row>
      <xdr:rowOff>120650</xdr:rowOff>
    </xdr:to>
    <xdr:sp macro="SetLED" textlink="">
      <xdr:nvSpPr>
        <xdr:cNvPr id="94343" name="DalekLED403">
          <a:extLst>
            <a:ext uri="{FF2B5EF4-FFF2-40B4-BE49-F238E27FC236}">
              <a16:creationId xmlns:a16="http://schemas.microsoft.com/office/drawing/2014/main" id="{99A02593-7225-5D4A-D4D1-58B77AA9657B}"/>
            </a:ext>
          </a:extLst>
        </xdr:cNvPr>
        <xdr:cNvSpPr/>
      </xdr:nvSpPr>
      <xdr:spPr>
        <a:xfrm>
          <a:off x="1079500" y="1016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1</xdr:col>
      <xdr:colOff>393700</xdr:colOff>
      <xdr:row>7</xdr:row>
      <xdr:rowOff>3175</xdr:rowOff>
    </xdr:from>
    <xdr:to>
      <xdr:col>1</xdr:col>
      <xdr:colOff>584200</xdr:colOff>
      <xdr:row>8</xdr:row>
      <xdr:rowOff>12700</xdr:rowOff>
    </xdr:to>
    <xdr:sp macro="SetLED" textlink="">
      <xdr:nvSpPr>
        <xdr:cNvPr id="94344" name="DalekLED503">
          <a:extLst>
            <a:ext uri="{FF2B5EF4-FFF2-40B4-BE49-F238E27FC236}">
              <a16:creationId xmlns:a16="http://schemas.microsoft.com/office/drawing/2014/main" id="{D187ACF1-5E67-376C-ADC8-7B0FD8B5C94A}"/>
            </a:ext>
          </a:extLst>
        </xdr:cNvPr>
        <xdr:cNvSpPr/>
      </xdr:nvSpPr>
      <xdr:spPr>
        <a:xfrm>
          <a:off x="1079500" y="1270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2</xdr:col>
      <xdr:colOff>0</xdr:colOff>
      <xdr:row>1</xdr:row>
      <xdr:rowOff>41275</xdr:rowOff>
    </xdr:from>
    <xdr:to>
      <xdr:col>2</xdr:col>
      <xdr:colOff>381000</xdr:colOff>
      <xdr:row>8</xdr:row>
      <xdr:rowOff>44450</xdr:rowOff>
    </xdr:to>
    <xdr:sp macro="SetHorDir" textlink="">
      <xdr:nvSpPr>
        <xdr:cNvPr id="94345" name="DalekCol04">
          <a:extLst>
            <a:ext uri="{FF2B5EF4-FFF2-40B4-BE49-F238E27FC236}">
              <a16:creationId xmlns:a16="http://schemas.microsoft.com/office/drawing/2014/main" id="{7DB0CE5A-7717-4861-27D2-1F0B16C794E2}"/>
            </a:ext>
          </a:extLst>
        </xdr:cNvPr>
        <xdr:cNvSpPr/>
      </xdr:nvSpPr>
      <xdr:spPr>
        <a:xfrm>
          <a:off x="1371600" y="222250"/>
          <a:ext cx="381000" cy="1270000"/>
        </a:xfrm>
        <a:prstGeom prst="rect">
          <a:avLst/>
        </a:prstGeom>
        <a:solidFill>
          <a:srgbClr val="C0C0C0"/>
        </a:soli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2</xdr:col>
      <xdr:colOff>330200</xdr:colOff>
      <xdr:row>6</xdr:row>
      <xdr:rowOff>57150</xdr:rowOff>
    </xdr:from>
    <xdr:to>
      <xdr:col>2</xdr:col>
      <xdr:colOff>330200</xdr:colOff>
      <xdr:row>8</xdr:row>
      <xdr:rowOff>76200</xdr:rowOff>
    </xdr:to>
    <xdr:cxnSp macro="SetHorDir">
      <xdr:nvCxnSpPr>
        <xdr:cNvPr id="94346" name="DalekColDir04">
          <a:extLst>
            <a:ext uri="{FF2B5EF4-FFF2-40B4-BE49-F238E27FC236}">
              <a16:creationId xmlns:a16="http://schemas.microsoft.com/office/drawing/2014/main" id="{B0A1326D-AC51-3DA0-54A5-499318E1CA72}"/>
            </a:ext>
          </a:extLst>
        </xdr:cNvPr>
        <xdr:cNvCxnSpPr/>
      </xdr:nvCxnSpPr>
      <xdr:spPr>
        <a:xfrm flipV="1">
          <a:off x="1701800" y="1143000"/>
          <a:ext cx="0" cy="381000"/>
        </a:xfrm>
        <a:prstGeom prst="line">
          <a:avLst/>
        </a:prstGeom>
        <a:noFill/>
        <a:ln w="9525" cap="flat" cmpd="sng" algn="ctr">
          <a:noFill/>
          <a:prstDash val="solid"/>
          <a:tailEnd type="triangle" w="med" len="med"/>
        </a:ln>
        <a:effectLst/>
        <a:extLst>
          <a:ext uri="{91240B29-F687-4F45-9708-019B960494DF}">
            <a14:hiddenLine xmlns:a14="http://schemas.microsoft.com/office/drawing/2010/main" w="9525" cap="flat" cmpd="sng" algn="ctr">
              <a:solidFill>
                <a:schemeClr val="accent1">
                  <a:shade val="95000"/>
                  <a:satMod val="105000"/>
                </a:schemeClr>
              </a:solidFill>
              <a:prstDash val="solid"/>
              <a:tailEnd type="triangle" w="med" len="med"/>
            </a14:hiddenLine>
          </a:ext>
        </a:extLst>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88900</xdr:colOff>
      <xdr:row>1</xdr:row>
      <xdr:rowOff>73025</xdr:rowOff>
    </xdr:from>
    <xdr:to>
      <xdr:col>2</xdr:col>
      <xdr:colOff>279400</xdr:colOff>
      <xdr:row>2</xdr:row>
      <xdr:rowOff>82550</xdr:rowOff>
    </xdr:to>
    <xdr:sp macro="SetLED" textlink="">
      <xdr:nvSpPr>
        <xdr:cNvPr id="94347" name="DalekLED104">
          <a:extLst>
            <a:ext uri="{FF2B5EF4-FFF2-40B4-BE49-F238E27FC236}">
              <a16:creationId xmlns:a16="http://schemas.microsoft.com/office/drawing/2014/main" id="{DC967210-32A5-453B-D7D1-E964FF9F75F3}"/>
            </a:ext>
          </a:extLst>
        </xdr:cNvPr>
        <xdr:cNvSpPr/>
      </xdr:nvSpPr>
      <xdr:spPr>
        <a:xfrm>
          <a:off x="1460500" y="254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2</xdr:col>
      <xdr:colOff>88900</xdr:colOff>
      <xdr:row>2</xdr:row>
      <xdr:rowOff>146050</xdr:rowOff>
    </xdr:from>
    <xdr:to>
      <xdr:col>2</xdr:col>
      <xdr:colOff>279400</xdr:colOff>
      <xdr:row>3</xdr:row>
      <xdr:rowOff>155575</xdr:rowOff>
    </xdr:to>
    <xdr:sp macro="SetLED" textlink="">
      <xdr:nvSpPr>
        <xdr:cNvPr id="94348" name="DalekLED204">
          <a:extLst>
            <a:ext uri="{FF2B5EF4-FFF2-40B4-BE49-F238E27FC236}">
              <a16:creationId xmlns:a16="http://schemas.microsoft.com/office/drawing/2014/main" id="{48611344-E352-8559-0BB5-D918572DD2E9}"/>
            </a:ext>
          </a:extLst>
        </xdr:cNvPr>
        <xdr:cNvSpPr/>
      </xdr:nvSpPr>
      <xdr:spPr>
        <a:xfrm>
          <a:off x="1460500" y="508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2</xdr:col>
      <xdr:colOff>88900</xdr:colOff>
      <xdr:row>4</xdr:row>
      <xdr:rowOff>38100</xdr:rowOff>
    </xdr:from>
    <xdr:to>
      <xdr:col>2</xdr:col>
      <xdr:colOff>279400</xdr:colOff>
      <xdr:row>5</xdr:row>
      <xdr:rowOff>47625</xdr:rowOff>
    </xdr:to>
    <xdr:sp macro="SetLED" textlink="">
      <xdr:nvSpPr>
        <xdr:cNvPr id="94349" name="DalekLED304">
          <a:extLst>
            <a:ext uri="{FF2B5EF4-FFF2-40B4-BE49-F238E27FC236}">
              <a16:creationId xmlns:a16="http://schemas.microsoft.com/office/drawing/2014/main" id="{AA50636E-147B-F944-5938-74B9EC75D235}"/>
            </a:ext>
          </a:extLst>
        </xdr:cNvPr>
        <xdr:cNvSpPr/>
      </xdr:nvSpPr>
      <xdr:spPr>
        <a:xfrm>
          <a:off x="1460500" y="762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2</xdr:col>
      <xdr:colOff>88900</xdr:colOff>
      <xdr:row>5</xdr:row>
      <xdr:rowOff>111125</xdr:rowOff>
    </xdr:from>
    <xdr:to>
      <xdr:col>2</xdr:col>
      <xdr:colOff>279400</xdr:colOff>
      <xdr:row>6</xdr:row>
      <xdr:rowOff>120650</xdr:rowOff>
    </xdr:to>
    <xdr:sp macro="SetLED" textlink="">
      <xdr:nvSpPr>
        <xdr:cNvPr id="94350" name="DalekLED404">
          <a:extLst>
            <a:ext uri="{FF2B5EF4-FFF2-40B4-BE49-F238E27FC236}">
              <a16:creationId xmlns:a16="http://schemas.microsoft.com/office/drawing/2014/main" id="{23C81B9D-CA35-07A8-6CF2-37C31E843FFA}"/>
            </a:ext>
          </a:extLst>
        </xdr:cNvPr>
        <xdr:cNvSpPr/>
      </xdr:nvSpPr>
      <xdr:spPr>
        <a:xfrm>
          <a:off x="1460500" y="1016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2</xdr:col>
      <xdr:colOff>88900</xdr:colOff>
      <xdr:row>7</xdr:row>
      <xdr:rowOff>3175</xdr:rowOff>
    </xdr:from>
    <xdr:to>
      <xdr:col>2</xdr:col>
      <xdr:colOff>279400</xdr:colOff>
      <xdr:row>8</xdr:row>
      <xdr:rowOff>12700</xdr:rowOff>
    </xdr:to>
    <xdr:sp macro="SetLED" textlink="">
      <xdr:nvSpPr>
        <xdr:cNvPr id="94351" name="DalekLED504">
          <a:extLst>
            <a:ext uri="{FF2B5EF4-FFF2-40B4-BE49-F238E27FC236}">
              <a16:creationId xmlns:a16="http://schemas.microsoft.com/office/drawing/2014/main" id="{30402AB8-99ED-907C-4368-D4A8DA8B02AE}"/>
            </a:ext>
          </a:extLst>
        </xdr:cNvPr>
        <xdr:cNvSpPr/>
      </xdr:nvSpPr>
      <xdr:spPr>
        <a:xfrm>
          <a:off x="1460500" y="1270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2</xdr:col>
      <xdr:colOff>381000</xdr:colOff>
      <xdr:row>1</xdr:row>
      <xdr:rowOff>41275</xdr:rowOff>
    </xdr:from>
    <xdr:to>
      <xdr:col>3</xdr:col>
      <xdr:colOff>76200</xdr:colOff>
      <xdr:row>8</xdr:row>
      <xdr:rowOff>44450</xdr:rowOff>
    </xdr:to>
    <xdr:sp macro="SetHorDir" textlink="">
      <xdr:nvSpPr>
        <xdr:cNvPr id="94352" name="DalekCol05">
          <a:extLst>
            <a:ext uri="{FF2B5EF4-FFF2-40B4-BE49-F238E27FC236}">
              <a16:creationId xmlns:a16="http://schemas.microsoft.com/office/drawing/2014/main" id="{AAB670AB-9458-944F-0DCA-7C81CB73C646}"/>
            </a:ext>
          </a:extLst>
        </xdr:cNvPr>
        <xdr:cNvSpPr/>
      </xdr:nvSpPr>
      <xdr:spPr>
        <a:xfrm>
          <a:off x="1752600" y="222250"/>
          <a:ext cx="381000" cy="1270000"/>
        </a:xfrm>
        <a:prstGeom prst="rect">
          <a:avLst/>
        </a:prstGeom>
        <a:solidFill>
          <a:srgbClr val="969696"/>
        </a:soli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3</xdr:col>
      <xdr:colOff>25400</xdr:colOff>
      <xdr:row>6</xdr:row>
      <xdr:rowOff>57150</xdr:rowOff>
    </xdr:from>
    <xdr:to>
      <xdr:col>3</xdr:col>
      <xdr:colOff>25400</xdr:colOff>
      <xdr:row>8</xdr:row>
      <xdr:rowOff>76200</xdr:rowOff>
    </xdr:to>
    <xdr:cxnSp macro="SetHorDir">
      <xdr:nvCxnSpPr>
        <xdr:cNvPr id="94353" name="DalekColDir05">
          <a:extLst>
            <a:ext uri="{FF2B5EF4-FFF2-40B4-BE49-F238E27FC236}">
              <a16:creationId xmlns:a16="http://schemas.microsoft.com/office/drawing/2014/main" id="{E16D38CD-6939-0927-5BA7-7DCBC430B899}"/>
            </a:ext>
          </a:extLst>
        </xdr:cNvPr>
        <xdr:cNvCxnSpPr/>
      </xdr:nvCxnSpPr>
      <xdr:spPr>
        <a:xfrm flipV="1">
          <a:off x="2082800" y="1143000"/>
          <a:ext cx="0" cy="381000"/>
        </a:xfrm>
        <a:prstGeom prst="line">
          <a:avLst/>
        </a:prstGeom>
        <a:noFill/>
        <a:ln w="9525" cap="flat" cmpd="sng" algn="ctr">
          <a:noFill/>
          <a:prstDash val="solid"/>
          <a:tailEnd type="triangle" w="med" len="med"/>
        </a:ln>
        <a:effectLst/>
        <a:extLst>
          <a:ext uri="{91240B29-F687-4F45-9708-019B960494DF}">
            <a14:hiddenLine xmlns:a14="http://schemas.microsoft.com/office/drawing/2010/main" w="9525" cap="flat" cmpd="sng" algn="ctr">
              <a:solidFill>
                <a:schemeClr val="accent1">
                  <a:shade val="95000"/>
                  <a:satMod val="105000"/>
                </a:schemeClr>
              </a:solidFill>
              <a:prstDash val="solid"/>
              <a:tailEnd type="triangle" w="med" len="med"/>
            </a14:hiddenLine>
          </a:ext>
        </a:extLst>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469900</xdr:colOff>
      <xdr:row>1</xdr:row>
      <xdr:rowOff>73025</xdr:rowOff>
    </xdr:from>
    <xdr:to>
      <xdr:col>2</xdr:col>
      <xdr:colOff>660400</xdr:colOff>
      <xdr:row>2</xdr:row>
      <xdr:rowOff>82550</xdr:rowOff>
    </xdr:to>
    <xdr:sp macro="SetLED" textlink="">
      <xdr:nvSpPr>
        <xdr:cNvPr id="94354" name="DalekLED105">
          <a:extLst>
            <a:ext uri="{FF2B5EF4-FFF2-40B4-BE49-F238E27FC236}">
              <a16:creationId xmlns:a16="http://schemas.microsoft.com/office/drawing/2014/main" id="{3A97EEA6-4798-0495-3631-5C7D9211EED9}"/>
            </a:ext>
          </a:extLst>
        </xdr:cNvPr>
        <xdr:cNvSpPr/>
      </xdr:nvSpPr>
      <xdr:spPr>
        <a:xfrm>
          <a:off x="1841500" y="254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2</xdr:col>
      <xdr:colOff>469900</xdr:colOff>
      <xdr:row>2</xdr:row>
      <xdr:rowOff>146050</xdr:rowOff>
    </xdr:from>
    <xdr:to>
      <xdr:col>2</xdr:col>
      <xdr:colOff>660400</xdr:colOff>
      <xdr:row>3</xdr:row>
      <xdr:rowOff>155575</xdr:rowOff>
    </xdr:to>
    <xdr:sp macro="SetLED" textlink="">
      <xdr:nvSpPr>
        <xdr:cNvPr id="94355" name="DalekLED205">
          <a:extLst>
            <a:ext uri="{FF2B5EF4-FFF2-40B4-BE49-F238E27FC236}">
              <a16:creationId xmlns:a16="http://schemas.microsoft.com/office/drawing/2014/main" id="{A2788FFE-9BF9-1C59-AC69-F989C0F8B24B}"/>
            </a:ext>
          </a:extLst>
        </xdr:cNvPr>
        <xdr:cNvSpPr/>
      </xdr:nvSpPr>
      <xdr:spPr>
        <a:xfrm>
          <a:off x="1841500" y="508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2</xdr:col>
      <xdr:colOff>469900</xdr:colOff>
      <xdr:row>4</xdr:row>
      <xdr:rowOff>38100</xdr:rowOff>
    </xdr:from>
    <xdr:to>
      <xdr:col>2</xdr:col>
      <xdr:colOff>660400</xdr:colOff>
      <xdr:row>5</xdr:row>
      <xdr:rowOff>47625</xdr:rowOff>
    </xdr:to>
    <xdr:sp macro="SetLED" textlink="">
      <xdr:nvSpPr>
        <xdr:cNvPr id="94356" name="DalekLED305">
          <a:extLst>
            <a:ext uri="{FF2B5EF4-FFF2-40B4-BE49-F238E27FC236}">
              <a16:creationId xmlns:a16="http://schemas.microsoft.com/office/drawing/2014/main" id="{E31A6026-197F-E480-56B5-2AA033C0583B}"/>
            </a:ext>
          </a:extLst>
        </xdr:cNvPr>
        <xdr:cNvSpPr/>
      </xdr:nvSpPr>
      <xdr:spPr>
        <a:xfrm>
          <a:off x="1841500" y="762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2</xdr:col>
      <xdr:colOff>469900</xdr:colOff>
      <xdr:row>5</xdr:row>
      <xdr:rowOff>111125</xdr:rowOff>
    </xdr:from>
    <xdr:to>
      <xdr:col>2</xdr:col>
      <xdr:colOff>660400</xdr:colOff>
      <xdr:row>6</xdr:row>
      <xdr:rowOff>120650</xdr:rowOff>
    </xdr:to>
    <xdr:sp macro="SetLED" textlink="">
      <xdr:nvSpPr>
        <xdr:cNvPr id="94357" name="DalekLED405">
          <a:extLst>
            <a:ext uri="{FF2B5EF4-FFF2-40B4-BE49-F238E27FC236}">
              <a16:creationId xmlns:a16="http://schemas.microsoft.com/office/drawing/2014/main" id="{6D00DC0E-A198-C4F1-B004-7F6DBC69BF03}"/>
            </a:ext>
          </a:extLst>
        </xdr:cNvPr>
        <xdr:cNvSpPr/>
      </xdr:nvSpPr>
      <xdr:spPr>
        <a:xfrm>
          <a:off x="1841500" y="1016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2</xdr:col>
      <xdr:colOff>469900</xdr:colOff>
      <xdr:row>7</xdr:row>
      <xdr:rowOff>3175</xdr:rowOff>
    </xdr:from>
    <xdr:to>
      <xdr:col>2</xdr:col>
      <xdr:colOff>660400</xdr:colOff>
      <xdr:row>8</xdr:row>
      <xdr:rowOff>12700</xdr:rowOff>
    </xdr:to>
    <xdr:sp macro="SetLED" textlink="">
      <xdr:nvSpPr>
        <xdr:cNvPr id="94358" name="DalekLED505">
          <a:extLst>
            <a:ext uri="{FF2B5EF4-FFF2-40B4-BE49-F238E27FC236}">
              <a16:creationId xmlns:a16="http://schemas.microsoft.com/office/drawing/2014/main" id="{0DB901F3-EE52-E5BA-3E51-D3618B7F4B0A}"/>
            </a:ext>
          </a:extLst>
        </xdr:cNvPr>
        <xdr:cNvSpPr/>
      </xdr:nvSpPr>
      <xdr:spPr>
        <a:xfrm>
          <a:off x="1841500" y="1270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3</xdr:col>
      <xdr:colOff>76200</xdr:colOff>
      <xdr:row>1</xdr:row>
      <xdr:rowOff>41275</xdr:rowOff>
    </xdr:from>
    <xdr:to>
      <xdr:col>3</xdr:col>
      <xdr:colOff>457200</xdr:colOff>
      <xdr:row>8</xdr:row>
      <xdr:rowOff>44450</xdr:rowOff>
    </xdr:to>
    <xdr:sp macro="SetHorDir" textlink="">
      <xdr:nvSpPr>
        <xdr:cNvPr id="94359" name="DalekCol06">
          <a:extLst>
            <a:ext uri="{FF2B5EF4-FFF2-40B4-BE49-F238E27FC236}">
              <a16:creationId xmlns:a16="http://schemas.microsoft.com/office/drawing/2014/main" id="{10CA4490-B191-5FC7-96FA-72EC2C57C22D}"/>
            </a:ext>
          </a:extLst>
        </xdr:cNvPr>
        <xdr:cNvSpPr/>
      </xdr:nvSpPr>
      <xdr:spPr>
        <a:xfrm>
          <a:off x="2133600" y="222250"/>
          <a:ext cx="381000" cy="1270000"/>
        </a:xfrm>
        <a:prstGeom prst="rect">
          <a:avLst/>
        </a:prstGeom>
        <a:solidFill>
          <a:srgbClr val="C0C0C0"/>
        </a:soli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3</xdr:col>
      <xdr:colOff>406400</xdr:colOff>
      <xdr:row>6</xdr:row>
      <xdr:rowOff>57150</xdr:rowOff>
    </xdr:from>
    <xdr:to>
      <xdr:col>3</xdr:col>
      <xdr:colOff>406400</xdr:colOff>
      <xdr:row>8</xdr:row>
      <xdr:rowOff>76200</xdr:rowOff>
    </xdr:to>
    <xdr:cxnSp macro="SetHorDir">
      <xdr:nvCxnSpPr>
        <xdr:cNvPr id="94360" name="DalekColDir06">
          <a:extLst>
            <a:ext uri="{FF2B5EF4-FFF2-40B4-BE49-F238E27FC236}">
              <a16:creationId xmlns:a16="http://schemas.microsoft.com/office/drawing/2014/main" id="{E07642B4-0416-5344-FEFA-DE04452DF23A}"/>
            </a:ext>
          </a:extLst>
        </xdr:cNvPr>
        <xdr:cNvCxnSpPr/>
      </xdr:nvCxnSpPr>
      <xdr:spPr>
        <a:xfrm flipV="1">
          <a:off x="2463800" y="1143000"/>
          <a:ext cx="0" cy="381000"/>
        </a:xfrm>
        <a:prstGeom prst="line">
          <a:avLst/>
        </a:prstGeom>
        <a:noFill/>
        <a:ln w="9525" cap="flat" cmpd="sng" algn="ctr">
          <a:noFill/>
          <a:prstDash val="solid"/>
          <a:tailEnd type="triangle" w="med" len="med"/>
        </a:ln>
        <a:effectLst/>
        <a:extLst>
          <a:ext uri="{91240B29-F687-4F45-9708-019B960494DF}">
            <a14:hiddenLine xmlns:a14="http://schemas.microsoft.com/office/drawing/2010/main" w="9525" cap="flat" cmpd="sng" algn="ctr">
              <a:solidFill>
                <a:schemeClr val="accent1">
                  <a:shade val="95000"/>
                  <a:satMod val="105000"/>
                </a:schemeClr>
              </a:solidFill>
              <a:prstDash val="solid"/>
              <a:tailEnd type="triangle" w="med" len="med"/>
            </a14:hiddenLine>
          </a:ext>
        </a:extLst>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165100</xdr:colOff>
      <xdr:row>1</xdr:row>
      <xdr:rowOff>73025</xdr:rowOff>
    </xdr:from>
    <xdr:to>
      <xdr:col>3</xdr:col>
      <xdr:colOff>355600</xdr:colOff>
      <xdr:row>2</xdr:row>
      <xdr:rowOff>82550</xdr:rowOff>
    </xdr:to>
    <xdr:sp macro="SetLED" textlink="">
      <xdr:nvSpPr>
        <xdr:cNvPr id="94361" name="DalekLED106">
          <a:extLst>
            <a:ext uri="{FF2B5EF4-FFF2-40B4-BE49-F238E27FC236}">
              <a16:creationId xmlns:a16="http://schemas.microsoft.com/office/drawing/2014/main" id="{14EDD103-01B3-ED29-5E36-02D1917F0C78}"/>
            </a:ext>
          </a:extLst>
        </xdr:cNvPr>
        <xdr:cNvSpPr/>
      </xdr:nvSpPr>
      <xdr:spPr>
        <a:xfrm>
          <a:off x="2222500" y="254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3</xdr:col>
      <xdr:colOff>165100</xdr:colOff>
      <xdr:row>2</xdr:row>
      <xdr:rowOff>146050</xdr:rowOff>
    </xdr:from>
    <xdr:to>
      <xdr:col>3</xdr:col>
      <xdr:colOff>355600</xdr:colOff>
      <xdr:row>3</xdr:row>
      <xdr:rowOff>155575</xdr:rowOff>
    </xdr:to>
    <xdr:sp macro="SetLED" textlink="">
      <xdr:nvSpPr>
        <xdr:cNvPr id="94362" name="DalekLED206">
          <a:extLst>
            <a:ext uri="{FF2B5EF4-FFF2-40B4-BE49-F238E27FC236}">
              <a16:creationId xmlns:a16="http://schemas.microsoft.com/office/drawing/2014/main" id="{E3281272-2BF1-4F7A-B033-232654CEFEE4}"/>
            </a:ext>
          </a:extLst>
        </xdr:cNvPr>
        <xdr:cNvSpPr/>
      </xdr:nvSpPr>
      <xdr:spPr>
        <a:xfrm>
          <a:off x="2222500" y="508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3</xdr:col>
      <xdr:colOff>165100</xdr:colOff>
      <xdr:row>4</xdr:row>
      <xdr:rowOff>38100</xdr:rowOff>
    </xdr:from>
    <xdr:to>
      <xdr:col>3</xdr:col>
      <xdr:colOff>355600</xdr:colOff>
      <xdr:row>5</xdr:row>
      <xdr:rowOff>47625</xdr:rowOff>
    </xdr:to>
    <xdr:sp macro="SetLED" textlink="">
      <xdr:nvSpPr>
        <xdr:cNvPr id="94363" name="DalekLED306">
          <a:extLst>
            <a:ext uri="{FF2B5EF4-FFF2-40B4-BE49-F238E27FC236}">
              <a16:creationId xmlns:a16="http://schemas.microsoft.com/office/drawing/2014/main" id="{54510551-9A4B-15FD-CE3D-7AB32DA0FE10}"/>
            </a:ext>
          </a:extLst>
        </xdr:cNvPr>
        <xdr:cNvSpPr/>
      </xdr:nvSpPr>
      <xdr:spPr>
        <a:xfrm>
          <a:off x="2222500" y="762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3</xdr:col>
      <xdr:colOff>165100</xdr:colOff>
      <xdr:row>5</xdr:row>
      <xdr:rowOff>111125</xdr:rowOff>
    </xdr:from>
    <xdr:to>
      <xdr:col>3</xdr:col>
      <xdr:colOff>355600</xdr:colOff>
      <xdr:row>6</xdr:row>
      <xdr:rowOff>120650</xdr:rowOff>
    </xdr:to>
    <xdr:sp macro="SetLED" textlink="">
      <xdr:nvSpPr>
        <xdr:cNvPr id="94364" name="DalekLED406">
          <a:extLst>
            <a:ext uri="{FF2B5EF4-FFF2-40B4-BE49-F238E27FC236}">
              <a16:creationId xmlns:a16="http://schemas.microsoft.com/office/drawing/2014/main" id="{418E819C-C415-59FC-0330-150C007C8CBF}"/>
            </a:ext>
          </a:extLst>
        </xdr:cNvPr>
        <xdr:cNvSpPr/>
      </xdr:nvSpPr>
      <xdr:spPr>
        <a:xfrm>
          <a:off x="2222500" y="1016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3</xdr:col>
      <xdr:colOff>165100</xdr:colOff>
      <xdr:row>7</xdr:row>
      <xdr:rowOff>3175</xdr:rowOff>
    </xdr:from>
    <xdr:to>
      <xdr:col>3</xdr:col>
      <xdr:colOff>355600</xdr:colOff>
      <xdr:row>8</xdr:row>
      <xdr:rowOff>12700</xdr:rowOff>
    </xdr:to>
    <xdr:sp macro="SetLED" textlink="">
      <xdr:nvSpPr>
        <xdr:cNvPr id="94365" name="DalekLED506">
          <a:extLst>
            <a:ext uri="{FF2B5EF4-FFF2-40B4-BE49-F238E27FC236}">
              <a16:creationId xmlns:a16="http://schemas.microsoft.com/office/drawing/2014/main" id="{E2E12034-9953-CBF7-C9C9-E16190885A98}"/>
            </a:ext>
          </a:extLst>
        </xdr:cNvPr>
        <xdr:cNvSpPr/>
      </xdr:nvSpPr>
      <xdr:spPr>
        <a:xfrm>
          <a:off x="2222500" y="1270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3</xdr:col>
      <xdr:colOff>457200</xdr:colOff>
      <xdr:row>1</xdr:row>
      <xdr:rowOff>41275</xdr:rowOff>
    </xdr:from>
    <xdr:to>
      <xdr:col>4</xdr:col>
      <xdr:colOff>152400</xdr:colOff>
      <xdr:row>8</xdr:row>
      <xdr:rowOff>44450</xdr:rowOff>
    </xdr:to>
    <xdr:sp macro="SetHorDir" textlink="">
      <xdr:nvSpPr>
        <xdr:cNvPr id="94366" name="DalekCol07">
          <a:extLst>
            <a:ext uri="{FF2B5EF4-FFF2-40B4-BE49-F238E27FC236}">
              <a16:creationId xmlns:a16="http://schemas.microsoft.com/office/drawing/2014/main" id="{A18A7069-CA80-3B11-A0C5-7CB91D39EB5A}"/>
            </a:ext>
          </a:extLst>
        </xdr:cNvPr>
        <xdr:cNvSpPr/>
      </xdr:nvSpPr>
      <xdr:spPr>
        <a:xfrm>
          <a:off x="2514600" y="222250"/>
          <a:ext cx="381000" cy="1270000"/>
        </a:xfrm>
        <a:prstGeom prst="rect">
          <a:avLst/>
        </a:prstGeom>
        <a:solidFill>
          <a:srgbClr val="969696"/>
        </a:soli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4</xdr:col>
      <xdr:colOff>101600</xdr:colOff>
      <xdr:row>6</xdr:row>
      <xdr:rowOff>57150</xdr:rowOff>
    </xdr:from>
    <xdr:to>
      <xdr:col>4</xdr:col>
      <xdr:colOff>101600</xdr:colOff>
      <xdr:row>8</xdr:row>
      <xdr:rowOff>76200</xdr:rowOff>
    </xdr:to>
    <xdr:cxnSp macro="SetHorDir">
      <xdr:nvCxnSpPr>
        <xdr:cNvPr id="94367" name="DalekColDir07">
          <a:extLst>
            <a:ext uri="{FF2B5EF4-FFF2-40B4-BE49-F238E27FC236}">
              <a16:creationId xmlns:a16="http://schemas.microsoft.com/office/drawing/2014/main" id="{56E44082-18CF-182F-4DCA-D41E69A63E29}"/>
            </a:ext>
          </a:extLst>
        </xdr:cNvPr>
        <xdr:cNvCxnSpPr/>
      </xdr:nvCxnSpPr>
      <xdr:spPr>
        <a:xfrm flipV="1">
          <a:off x="2844800" y="1143000"/>
          <a:ext cx="0" cy="381000"/>
        </a:xfrm>
        <a:prstGeom prst="line">
          <a:avLst/>
        </a:prstGeom>
        <a:noFill/>
        <a:ln w="9525" cap="flat" cmpd="sng" algn="ctr">
          <a:noFill/>
          <a:prstDash val="solid"/>
          <a:tailEnd type="triangle" w="med" len="med"/>
        </a:ln>
        <a:effectLst/>
        <a:extLst>
          <a:ext uri="{91240B29-F687-4F45-9708-019B960494DF}">
            <a14:hiddenLine xmlns:a14="http://schemas.microsoft.com/office/drawing/2010/main" w="9525" cap="flat" cmpd="sng" algn="ctr">
              <a:solidFill>
                <a:schemeClr val="accent1">
                  <a:shade val="95000"/>
                  <a:satMod val="105000"/>
                </a:schemeClr>
              </a:solidFill>
              <a:prstDash val="solid"/>
              <a:tailEnd type="triangle" w="med" len="med"/>
            </a14:hiddenLine>
          </a:ext>
        </a:extLst>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546100</xdr:colOff>
      <xdr:row>1</xdr:row>
      <xdr:rowOff>73025</xdr:rowOff>
    </xdr:from>
    <xdr:to>
      <xdr:col>4</xdr:col>
      <xdr:colOff>50800</xdr:colOff>
      <xdr:row>2</xdr:row>
      <xdr:rowOff>82550</xdr:rowOff>
    </xdr:to>
    <xdr:sp macro="SetLED" textlink="">
      <xdr:nvSpPr>
        <xdr:cNvPr id="94368" name="DalekLED107">
          <a:extLst>
            <a:ext uri="{FF2B5EF4-FFF2-40B4-BE49-F238E27FC236}">
              <a16:creationId xmlns:a16="http://schemas.microsoft.com/office/drawing/2014/main" id="{2347E8ED-D9CB-ECA8-C1C7-37CC6E25AD52}"/>
            </a:ext>
          </a:extLst>
        </xdr:cNvPr>
        <xdr:cNvSpPr/>
      </xdr:nvSpPr>
      <xdr:spPr>
        <a:xfrm>
          <a:off x="2603500" y="254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3</xdr:col>
      <xdr:colOff>546100</xdr:colOff>
      <xdr:row>2</xdr:row>
      <xdr:rowOff>146050</xdr:rowOff>
    </xdr:from>
    <xdr:to>
      <xdr:col>4</xdr:col>
      <xdr:colOff>50800</xdr:colOff>
      <xdr:row>3</xdr:row>
      <xdr:rowOff>155575</xdr:rowOff>
    </xdr:to>
    <xdr:sp macro="SetLED" textlink="">
      <xdr:nvSpPr>
        <xdr:cNvPr id="94369" name="DalekLED207">
          <a:extLst>
            <a:ext uri="{FF2B5EF4-FFF2-40B4-BE49-F238E27FC236}">
              <a16:creationId xmlns:a16="http://schemas.microsoft.com/office/drawing/2014/main" id="{A40D200A-5BC7-3310-E9C7-978C6179177D}"/>
            </a:ext>
          </a:extLst>
        </xdr:cNvPr>
        <xdr:cNvSpPr/>
      </xdr:nvSpPr>
      <xdr:spPr>
        <a:xfrm>
          <a:off x="2603500" y="508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3</xdr:col>
      <xdr:colOff>546100</xdr:colOff>
      <xdr:row>4</xdr:row>
      <xdr:rowOff>38100</xdr:rowOff>
    </xdr:from>
    <xdr:to>
      <xdr:col>4</xdr:col>
      <xdr:colOff>50800</xdr:colOff>
      <xdr:row>5</xdr:row>
      <xdr:rowOff>47625</xdr:rowOff>
    </xdr:to>
    <xdr:sp macro="SetLED" textlink="">
      <xdr:nvSpPr>
        <xdr:cNvPr id="94370" name="DalekLED307">
          <a:extLst>
            <a:ext uri="{FF2B5EF4-FFF2-40B4-BE49-F238E27FC236}">
              <a16:creationId xmlns:a16="http://schemas.microsoft.com/office/drawing/2014/main" id="{2BC27EF8-272B-062F-87AF-7D8450C0F194}"/>
            </a:ext>
          </a:extLst>
        </xdr:cNvPr>
        <xdr:cNvSpPr/>
      </xdr:nvSpPr>
      <xdr:spPr>
        <a:xfrm>
          <a:off x="2603500" y="762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3</xdr:col>
      <xdr:colOff>546100</xdr:colOff>
      <xdr:row>5</xdr:row>
      <xdr:rowOff>111125</xdr:rowOff>
    </xdr:from>
    <xdr:to>
      <xdr:col>4</xdr:col>
      <xdr:colOff>50800</xdr:colOff>
      <xdr:row>6</xdr:row>
      <xdr:rowOff>120650</xdr:rowOff>
    </xdr:to>
    <xdr:sp macro="SetLED" textlink="">
      <xdr:nvSpPr>
        <xdr:cNvPr id="94371" name="DalekLED407">
          <a:extLst>
            <a:ext uri="{FF2B5EF4-FFF2-40B4-BE49-F238E27FC236}">
              <a16:creationId xmlns:a16="http://schemas.microsoft.com/office/drawing/2014/main" id="{872F84D8-AAFF-105F-8D67-08F7A3F6247C}"/>
            </a:ext>
          </a:extLst>
        </xdr:cNvPr>
        <xdr:cNvSpPr/>
      </xdr:nvSpPr>
      <xdr:spPr>
        <a:xfrm>
          <a:off x="2603500" y="1016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3</xdr:col>
      <xdr:colOff>546100</xdr:colOff>
      <xdr:row>7</xdr:row>
      <xdr:rowOff>3175</xdr:rowOff>
    </xdr:from>
    <xdr:to>
      <xdr:col>4</xdr:col>
      <xdr:colOff>50800</xdr:colOff>
      <xdr:row>8</xdr:row>
      <xdr:rowOff>12700</xdr:rowOff>
    </xdr:to>
    <xdr:sp macro="SetLED" textlink="">
      <xdr:nvSpPr>
        <xdr:cNvPr id="94372" name="DalekLED507">
          <a:extLst>
            <a:ext uri="{FF2B5EF4-FFF2-40B4-BE49-F238E27FC236}">
              <a16:creationId xmlns:a16="http://schemas.microsoft.com/office/drawing/2014/main" id="{074A44CB-5ED7-37AA-0FA7-A3754C399B41}"/>
            </a:ext>
          </a:extLst>
        </xdr:cNvPr>
        <xdr:cNvSpPr/>
      </xdr:nvSpPr>
      <xdr:spPr>
        <a:xfrm>
          <a:off x="2603500" y="1270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4</xdr:col>
      <xdr:colOff>152400</xdr:colOff>
      <xdr:row>1</xdr:row>
      <xdr:rowOff>41275</xdr:rowOff>
    </xdr:from>
    <xdr:to>
      <xdr:col>4</xdr:col>
      <xdr:colOff>533400</xdr:colOff>
      <xdr:row>8</xdr:row>
      <xdr:rowOff>44450</xdr:rowOff>
    </xdr:to>
    <xdr:sp macro="SetHorDir" textlink="">
      <xdr:nvSpPr>
        <xdr:cNvPr id="94373" name="DalekCol08">
          <a:extLst>
            <a:ext uri="{FF2B5EF4-FFF2-40B4-BE49-F238E27FC236}">
              <a16:creationId xmlns:a16="http://schemas.microsoft.com/office/drawing/2014/main" id="{AF5A5C42-7915-66E9-0531-3ED7414CF1C0}"/>
            </a:ext>
          </a:extLst>
        </xdr:cNvPr>
        <xdr:cNvSpPr/>
      </xdr:nvSpPr>
      <xdr:spPr>
        <a:xfrm>
          <a:off x="2895600" y="222250"/>
          <a:ext cx="381000" cy="1270000"/>
        </a:xfrm>
        <a:prstGeom prst="rect">
          <a:avLst/>
        </a:prstGeom>
        <a:solidFill>
          <a:srgbClr val="C0C0C0"/>
        </a:soli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4</xdr:col>
      <xdr:colOff>482600</xdr:colOff>
      <xdr:row>6</xdr:row>
      <xdr:rowOff>57150</xdr:rowOff>
    </xdr:from>
    <xdr:to>
      <xdr:col>4</xdr:col>
      <xdr:colOff>482600</xdr:colOff>
      <xdr:row>8</xdr:row>
      <xdr:rowOff>76200</xdr:rowOff>
    </xdr:to>
    <xdr:cxnSp macro="SetHorDir">
      <xdr:nvCxnSpPr>
        <xdr:cNvPr id="94374" name="DalekColDir08">
          <a:extLst>
            <a:ext uri="{FF2B5EF4-FFF2-40B4-BE49-F238E27FC236}">
              <a16:creationId xmlns:a16="http://schemas.microsoft.com/office/drawing/2014/main" id="{A76C33ED-3ADD-21C4-6958-58AFB1965C81}"/>
            </a:ext>
          </a:extLst>
        </xdr:cNvPr>
        <xdr:cNvCxnSpPr/>
      </xdr:nvCxnSpPr>
      <xdr:spPr>
        <a:xfrm flipV="1">
          <a:off x="3225800" y="1143000"/>
          <a:ext cx="0" cy="381000"/>
        </a:xfrm>
        <a:prstGeom prst="line">
          <a:avLst/>
        </a:prstGeom>
        <a:noFill/>
        <a:ln w="9525" cap="flat" cmpd="sng" algn="ctr">
          <a:noFill/>
          <a:prstDash val="solid"/>
          <a:tailEnd type="triangle" w="med" len="med"/>
        </a:ln>
        <a:effectLst/>
        <a:extLst>
          <a:ext uri="{91240B29-F687-4F45-9708-019B960494DF}">
            <a14:hiddenLine xmlns:a14="http://schemas.microsoft.com/office/drawing/2010/main" w="9525" cap="flat" cmpd="sng" algn="ctr">
              <a:solidFill>
                <a:schemeClr val="accent1">
                  <a:shade val="95000"/>
                  <a:satMod val="105000"/>
                </a:schemeClr>
              </a:solidFill>
              <a:prstDash val="solid"/>
              <a:tailEnd type="triangle" w="med" len="med"/>
            </a14:hiddenLine>
          </a:ext>
        </a:extLst>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241300</xdr:colOff>
      <xdr:row>1</xdr:row>
      <xdr:rowOff>73025</xdr:rowOff>
    </xdr:from>
    <xdr:to>
      <xdr:col>4</xdr:col>
      <xdr:colOff>431800</xdr:colOff>
      <xdr:row>2</xdr:row>
      <xdr:rowOff>82550</xdr:rowOff>
    </xdr:to>
    <xdr:sp macro="SetLED" textlink="">
      <xdr:nvSpPr>
        <xdr:cNvPr id="94375" name="DalekLED108">
          <a:extLst>
            <a:ext uri="{FF2B5EF4-FFF2-40B4-BE49-F238E27FC236}">
              <a16:creationId xmlns:a16="http://schemas.microsoft.com/office/drawing/2014/main" id="{7DC5DA1C-2A12-CDCE-838A-9D42ADDA92F1}"/>
            </a:ext>
          </a:extLst>
        </xdr:cNvPr>
        <xdr:cNvSpPr/>
      </xdr:nvSpPr>
      <xdr:spPr>
        <a:xfrm>
          <a:off x="2984500" y="254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4</xdr:col>
      <xdr:colOff>241300</xdr:colOff>
      <xdr:row>2</xdr:row>
      <xdr:rowOff>146050</xdr:rowOff>
    </xdr:from>
    <xdr:to>
      <xdr:col>4</xdr:col>
      <xdr:colOff>431800</xdr:colOff>
      <xdr:row>3</xdr:row>
      <xdr:rowOff>155575</xdr:rowOff>
    </xdr:to>
    <xdr:sp macro="SetLED" textlink="">
      <xdr:nvSpPr>
        <xdr:cNvPr id="94376" name="DalekLED208">
          <a:extLst>
            <a:ext uri="{FF2B5EF4-FFF2-40B4-BE49-F238E27FC236}">
              <a16:creationId xmlns:a16="http://schemas.microsoft.com/office/drawing/2014/main" id="{91DD4C68-7C82-09B5-18F3-CDC2510D855A}"/>
            </a:ext>
          </a:extLst>
        </xdr:cNvPr>
        <xdr:cNvSpPr/>
      </xdr:nvSpPr>
      <xdr:spPr>
        <a:xfrm>
          <a:off x="2984500" y="508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4</xdr:col>
      <xdr:colOff>241300</xdr:colOff>
      <xdr:row>4</xdr:row>
      <xdr:rowOff>38100</xdr:rowOff>
    </xdr:from>
    <xdr:to>
      <xdr:col>4</xdr:col>
      <xdr:colOff>431800</xdr:colOff>
      <xdr:row>5</xdr:row>
      <xdr:rowOff>47625</xdr:rowOff>
    </xdr:to>
    <xdr:sp macro="SetLED" textlink="">
      <xdr:nvSpPr>
        <xdr:cNvPr id="94377" name="DalekLED308">
          <a:extLst>
            <a:ext uri="{FF2B5EF4-FFF2-40B4-BE49-F238E27FC236}">
              <a16:creationId xmlns:a16="http://schemas.microsoft.com/office/drawing/2014/main" id="{A3E56874-1773-49AF-0B7B-D05B6C0BFC3F}"/>
            </a:ext>
          </a:extLst>
        </xdr:cNvPr>
        <xdr:cNvSpPr/>
      </xdr:nvSpPr>
      <xdr:spPr>
        <a:xfrm>
          <a:off x="2984500" y="762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4</xdr:col>
      <xdr:colOff>241300</xdr:colOff>
      <xdr:row>5</xdr:row>
      <xdr:rowOff>111125</xdr:rowOff>
    </xdr:from>
    <xdr:to>
      <xdr:col>4</xdr:col>
      <xdr:colOff>431800</xdr:colOff>
      <xdr:row>6</xdr:row>
      <xdr:rowOff>120650</xdr:rowOff>
    </xdr:to>
    <xdr:sp macro="SetLED" textlink="">
      <xdr:nvSpPr>
        <xdr:cNvPr id="94378" name="DalekLED408">
          <a:extLst>
            <a:ext uri="{FF2B5EF4-FFF2-40B4-BE49-F238E27FC236}">
              <a16:creationId xmlns:a16="http://schemas.microsoft.com/office/drawing/2014/main" id="{86FCBE9D-6496-94D8-9BDF-ABB7C0988F7E}"/>
            </a:ext>
          </a:extLst>
        </xdr:cNvPr>
        <xdr:cNvSpPr/>
      </xdr:nvSpPr>
      <xdr:spPr>
        <a:xfrm>
          <a:off x="2984500" y="1016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4</xdr:col>
      <xdr:colOff>241300</xdr:colOff>
      <xdr:row>7</xdr:row>
      <xdr:rowOff>3175</xdr:rowOff>
    </xdr:from>
    <xdr:to>
      <xdr:col>4</xdr:col>
      <xdr:colOff>431800</xdr:colOff>
      <xdr:row>8</xdr:row>
      <xdr:rowOff>12700</xdr:rowOff>
    </xdr:to>
    <xdr:sp macro="SetLED" textlink="">
      <xdr:nvSpPr>
        <xdr:cNvPr id="94379" name="DalekLED508">
          <a:extLst>
            <a:ext uri="{FF2B5EF4-FFF2-40B4-BE49-F238E27FC236}">
              <a16:creationId xmlns:a16="http://schemas.microsoft.com/office/drawing/2014/main" id="{2FE58C86-CD1F-87F0-1F43-ED15D4609061}"/>
            </a:ext>
          </a:extLst>
        </xdr:cNvPr>
        <xdr:cNvSpPr/>
      </xdr:nvSpPr>
      <xdr:spPr>
        <a:xfrm>
          <a:off x="2984500" y="1270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4</xdr:col>
      <xdr:colOff>533400</xdr:colOff>
      <xdr:row>1</xdr:row>
      <xdr:rowOff>41275</xdr:rowOff>
    </xdr:from>
    <xdr:to>
      <xdr:col>5</xdr:col>
      <xdr:colOff>228600</xdr:colOff>
      <xdr:row>8</xdr:row>
      <xdr:rowOff>44450</xdr:rowOff>
    </xdr:to>
    <xdr:sp macro="SetHorDir" textlink="">
      <xdr:nvSpPr>
        <xdr:cNvPr id="94380" name="DalekCol09">
          <a:extLst>
            <a:ext uri="{FF2B5EF4-FFF2-40B4-BE49-F238E27FC236}">
              <a16:creationId xmlns:a16="http://schemas.microsoft.com/office/drawing/2014/main" id="{6CB80FCF-4C99-025F-526F-E6362F36903F}"/>
            </a:ext>
          </a:extLst>
        </xdr:cNvPr>
        <xdr:cNvSpPr/>
      </xdr:nvSpPr>
      <xdr:spPr>
        <a:xfrm>
          <a:off x="3276600" y="222250"/>
          <a:ext cx="381000" cy="1270000"/>
        </a:xfrm>
        <a:prstGeom prst="rect">
          <a:avLst/>
        </a:prstGeom>
        <a:solidFill>
          <a:srgbClr val="969696"/>
        </a:soli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5</xdr:col>
      <xdr:colOff>177800</xdr:colOff>
      <xdr:row>6</xdr:row>
      <xdr:rowOff>57150</xdr:rowOff>
    </xdr:from>
    <xdr:to>
      <xdr:col>5</xdr:col>
      <xdr:colOff>177800</xdr:colOff>
      <xdr:row>8</xdr:row>
      <xdr:rowOff>76200</xdr:rowOff>
    </xdr:to>
    <xdr:cxnSp macro="SetHorDir">
      <xdr:nvCxnSpPr>
        <xdr:cNvPr id="94381" name="DalekColDir09">
          <a:extLst>
            <a:ext uri="{FF2B5EF4-FFF2-40B4-BE49-F238E27FC236}">
              <a16:creationId xmlns:a16="http://schemas.microsoft.com/office/drawing/2014/main" id="{174F3BE3-F11D-583E-D3B0-1BF5226517C1}"/>
            </a:ext>
          </a:extLst>
        </xdr:cNvPr>
        <xdr:cNvCxnSpPr/>
      </xdr:nvCxnSpPr>
      <xdr:spPr>
        <a:xfrm flipV="1">
          <a:off x="3606800" y="1143000"/>
          <a:ext cx="0" cy="381000"/>
        </a:xfrm>
        <a:prstGeom prst="line">
          <a:avLst/>
        </a:prstGeom>
        <a:noFill/>
        <a:ln w="9525" cap="flat" cmpd="sng" algn="ctr">
          <a:noFill/>
          <a:prstDash val="solid"/>
          <a:tailEnd type="triangle" w="med" len="med"/>
        </a:ln>
        <a:effectLst/>
        <a:extLst>
          <a:ext uri="{91240B29-F687-4F45-9708-019B960494DF}">
            <a14:hiddenLine xmlns:a14="http://schemas.microsoft.com/office/drawing/2010/main" w="9525" cap="flat" cmpd="sng" algn="ctr">
              <a:solidFill>
                <a:schemeClr val="accent1">
                  <a:shade val="95000"/>
                  <a:satMod val="105000"/>
                </a:schemeClr>
              </a:solidFill>
              <a:prstDash val="solid"/>
              <a:tailEnd type="triangle" w="med" len="med"/>
            </a14:hiddenLine>
          </a:ext>
        </a:extLst>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622300</xdr:colOff>
      <xdr:row>1</xdr:row>
      <xdr:rowOff>73025</xdr:rowOff>
    </xdr:from>
    <xdr:to>
      <xdr:col>5</xdr:col>
      <xdr:colOff>127000</xdr:colOff>
      <xdr:row>2</xdr:row>
      <xdr:rowOff>82550</xdr:rowOff>
    </xdr:to>
    <xdr:sp macro="SetLED" textlink="">
      <xdr:nvSpPr>
        <xdr:cNvPr id="94382" name="DalekLED109">
          <a:extLst>
            <a:ext uri="{FF2B5EF4-FFF2-40B4-BE49-F238E27FC236}">
              <a16:creationId xmlns:a16="http://schemas.microsoft.com/office/drawing/2014/main" id="{5AAC4A9E-93D2-FEFA-D916-D5DE8B32D5A6}"/>
            </a:ext>
          </a:extLst>
        </xdr:cNvPr>
        <xdr:cNvSpPr/>
      </xdr:nvSpPr>
      <xdr:spPr>
        <a:xfrm>
          <a:off x="3365500" y="254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4</xdr:col>
      <xdr:colOff>622300</xdr:colOff>
      <xdr:row>2</xdr:row>
      <xdr:rowOff>146050</xdr:rowOff>
    </xdr:from>
    <xdr:to>
      <xdr:col>5</xdr:col>
      <xdr:colOff>127000</xdr:colOff>
      <xdr:row>3</xdr:row>
      <xdr:rowOff>155575</xdr:rowOff>
    </xdr:to>
    <xdr:sp macro="SetLED" textlink="">
      <xdr:nvSpPr>
        <xdr:cNvPr id="94383" name="DalekLED209">
          <a:extLst>
            <a:ext uri="{FF2B5EF4-FFF2-40B4-BE49-F238E27FC236}">
              <a16:creationId xmlns:a16="http://schemas.microsoft.com/office/drawing/2014/main" id="{5F39A987-DBD2-893D-D31D-C852C2ABC6A8}"/>
            </a:ext>
          </a:extLst>
        </xdr:cNvPr>
        <xdr:cNvSpPr/>
      </xdr:nvSpPr>
      <xdr:spPr>
        <a:xfrm>
          <a:off x="3365500" y="508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4</xdr:col>
      <xdr:colOff>622300</xdr:colOff>
      <xdr:row>4</xdr:row>
      <xdr:rowOff>38100</xdr:rowOff>
    </xdr:from>
    <xdr:to>
      <xdr:col>5</xdr:col>
      <xdr:colOff>127000</xdr:colOff>
      <xdr:row>5</xdr:row>
      <xdr:rowOff>47625</xdr:rowOff>
    </xdr:to>
    <xdr:sp macro="SetLED" textlink="">
      <xdr:nvSpPr>
        <xdr:cNvPr id="94384" name="DalekLED309">
          <a:extLst>
            <a:ext uri="{FF2B5EF4-FFF2-40B4-BE49-F238E27FC236}">
              <a16:creationId xmlns:a16="http://schemas.microsoft.com/office/drawing/2014/main" id="{29775C7B-1D8B-3687-FB4C-8559567734A1}"/>
            </a:ext>
          </a:extLst>
        </xdr:cNvPr>
        <xdr:cNvSpPr/>
      </xdr:nvSpPr>
      <xdr:spPr>
        <a:xfrm>
          <a:off x="3365500" y="762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4</xdr:col>
      <xdr:colOff>622300</xdr:colOff>
      <xdr:row>5</xdr:row>
      <xdr:rowOff>111125</xdr:rowOff>
    </xdr:from>
    <xdr:to>
      <xdr:col>5</xdr:col>
      <xdr:colOff>127000</xdr:colOff>
      <xdr:row>6</xdr:row>
      <xdr:rowOff>120650</xdr:rowOff>
    </xdr:to>
    <xdr:sp macro="SetLED" textlink="">
      <xdr:nvSpPr>
        <xdr:cNvPr id="94385" name="DalekLED409">
          <a:extLst>
            <a:ext uri="{FF2B5EF4-FFF2-40B4-BE49-F238E27FC236}">
              <a16:creationId xmlns:a16="http://schemas.microsoft.com/office/drawing/2014/main" id="{98941587-E900-20A9-4676-45F258029D78}"/>
            </a:ext>
          </a:extLst>
        </xdr:cNvPr>
        <xdr:cNvSpPr/>
      </xdr:nvSpPr>
      <xdr:spPr>
        <a:xfrm>
          <a:off x="3365500" y="1016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4</xdr:col>
      <xdr:colOff>622300</xdr:colOff>
      <xdr:row>7</xdr:row>
      <xdr:rowOff>3175</xdr:rowOff>
    </xdr:from>
    <xdr:to>
      <xdr:col>5</xdr:col>
      <xdr:colOff>127000</xdr:colOff>
      <xdr:row>8</xdr:row>
      <xdr:rowOff>12700</xdr:rowOff>
    </xdr:to>
    <xdr:sp macro="SetLED" textlink="">
      <xdr:nvSpPr>
        <xdr:cNvPr id="94386" name="DalekLED509">
          <a:extLst>
            <a:ext uri="{FF2B5EF4-FFF2-40B4-BE49-F238E27FC236}">
              <a16:creationId xmlns:a16="http://schemas.microsoft.com/office/drawing/2014/main" id="{0E5FBE86-2C67-F5E7-E43A-EA49A13D8BF9}"/>
            </a:ext>
          </a:extLst>
        </xdr:cNvPr>
        <xdr:cNvSpPr/>
      </xdr:nvSpPr>
      <xdr:spPr>
        <a:xfrm>
          <a:off x="3365500" y="1270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5</xdr:col>
      <xdr:colOff>228600</xdr:colOff>
      <xdr:row>1</xdr:row>
      <xdr:rowOff>41275</xdr:rowOff>
    </xdr:from>
    <xdr:to>
      <xdr:col>5</xdr:col>
      <xdr:colOff>609600</xdr:colOff>
      <xdr:row>8</xdr:row>
      <xdr:rowOff>44450</xdr:rowOff>
    </xdr:to>
    <xdr:sp macro="SetHorDir" textlink="">
      <xdr:nvSpPr>
        <xdr:cNvPr id="94387" name="DalekCol10">
          <a:extLst>
            <a:ext uri="{FF2B5EF4-FFF2-40B4-BE49-F238E27FC236}">
              <a16:creationId xmlns:a16="http://schemas.microsoft.com/office/drawing/2014/main" id="{C29211E6-CF63-95BE-DF64-B1BE1FA1E0C1}"/>
            </a:ext>
          </a:extLst>
        </xdr:cNvPr>
        <xdr:cNvSpPr/>
      </xdr:nvSpPr>
      <xdr:spPr>
        <a:xfrm>
          <a:off x="3657600" y="222250"/>
          <a:ext cx="381000" cy="1270000"/>
        </a:xfrm>
        <a:prstGeom prst="rect">
          <a:avLst/>
        </a:prstGeom>
        <a:solidFill>
          <a:srgbClr val="C0C0C0"/>
        </a:soli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5</xdr:col>
      <xdr:colOff>558800</xdr:colOff>
      <xdr:row>6</xdr:row>
      <xdr:rowOff>57150</xdr:rowOff>
    </xdr:from>
    <xdr:to>
      <xdr:col>5</xdr:col>
      <xdr:colOff>558800</xdr:colOff>
      <xdr:row>8</xdr:row>
      <xdr:rowOff>76200</xdr:rowOff>
    </xdr:to>
    <xdr:cxnSp macro="SetHorDir">
      <xdr:nvCxnSpPr>
        <xdr:cNvPr id="94388" name="DalekColDir10">
          <a:extLst>
            <a:ext uri="{FF2B5EF4-FFF2-40B4-BE49-F238E27FC236}">
              <a16:creationId xmlns:a16="http://schemas.microsoft.com/office/drawing/2014/main" id="{4028C5AE-91B3-EA97-1734-27DAFB062352}"/>
            </a:ext>
          </a:extLst>
        </xdr:cNvPr>
        <xdr:cNvCxnSpPr/>
      </xdr:nvCxnSpPr>
      <xdr:spPr>
        <a:xfrm flipV="1">
          <a:off x="3987800" y="1143000"/>
          <a:ext cx="0" cy="381000"/>
        </a:xfrm>
        <a:prstGeom prst="line">
          <a:avLst/>
        </a:prstGeom>
        <a:noFill/>
        <a:ln w="9525" cap="flat" cmpd="sng" algn="ctr">
          <a:noFill/>
          <a:prstDash val="solid"/>
          <a:tailEnd type="triangle" w="med" len="med"/>
        </a:ln>
        <a:effectLst/>
        <a:extLst>
          <a:ext uri="{91240B29-F687-4F45-9708-019B960494DF}">
            <a14:hiddenLine xmlns:a14="http://schemas.microsoft.com/office/drawing/2010/main" w="9525" cap="flat" cmpd="sng" algn="ctr">
              <a:solidFill>
                <a:schemeClr val="accent1">
                  <a:shade val="95000"/>
                  <a:satMod val="105000"/>
                </a:schemeClr>
              </a:solidFill>
              <a:prstDash val="solid"/>
              <a:tailEnd type="triangle" w="med" len="med"/>
            </a14:hiddenLine>
          </a:ext>
        </a:extLst>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317500</xdr:colOff>
      <xdr:row>1</xdr:row>
      <xdr:rowOff>73025</xdr:rowOff>
    </xdr:from>
    <xdr:to>
      <xdr:col>5</xdr:col>
      <xdr:colOff>508000</xdr:colOff>
      <xdr:row>2</xdr:row>
      <xdr:rowOff>82550</xdr:rowOff>
    </xdr:to>
    <xdr:sp macro="SetLED" textlink="">
      <xdr:nvSpPr>
        <xdr:cNvPr id="94389" name="DalekLED110">
          <a:extLst>
            <a:ext uri="{FF2B5EF4-FFF2-40B4-BE49-F238E27FC236}">
              <a16:creationId xmlns:a16="http://schemas.microsoft.com/office/drawing/2014/main" id="{C3DB58A9-76A6-0C38-D1C0-7E0046BE3F86}"/>
            </a:ext>
          </a:extLst>
        </xdr:cNvPr>
        <xdr:cNvSpPr/>
      </xdr:nvSpPr>
      <xdr:spPr>
        <a:xfrm>
          <a:off x="3746500" y="254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5</xdr:col>
      <xdr:colOff>317500</xdr:colOff>
      <xdr:row>2</xdr:row>
      <xdr:rowOff>146050</xdr:rowOff>
    </xdr:from>
    <xdr:to>
      <xdr:col>5</xdr:col>
      <xdr:colOff>508000</xdr:colOff>
      <xdr:row>3</xdr:row>
      <xdr:rowOff>155575</xdr:rowOff>
    </xdr:to>
    <xdr:sp macro="SetLED" textlink="">
      <xdr:nvSpPr>
        <xdr:cNvPr id="94390" name="DalekLED210">
          <a:extLst>
            <a:ext uri="{FF2B5EF4-FFF2-40B4-BE49-F238E27FC236}">
              <a16:creationId xmlns:a16="http://schemas.microsoft.com/office/drawing/2014/main" id="{8425EA6C-BE55-276E-D479-A415A8C71BEC}"/>
            </a:ext>
          </a:extLst>
        </xdr:cNvPr>
        <xdr:cNvSpPr/>
      </xdr:nvSpPr>
      <xdr:spPr>
        <a:xfrm>
          <a:off x="3746500" y="508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5</xdr:col>
      <xdr:colOff>317500</xdr:colOff>
      <xdr:row>4</xdr:row>
      <xdr:rowOff>38100</xdr:rowOff>
    </xdr:from>
    <xdr:to>
      <xdr:col>5</xdr:col>
      <xdr:colOff>508000</xdr:colOff>
      <xdr:row>5</xdr:row>
      <xdr:rowOff>47625</xdr:rowOff>
    </xdr:to>
    <xdr:sp macro="SetLED" textlink="">
      <xdr:nvSpPr>
        <xdr:cNvPr id="94391" name="DalekLED310">
          <a:extLst>
            <a:ext uri="{FF2B5EF4-FFF2-40B4-BE49-F238E27FC236}">
              <a16:creationId xmlns:a16="http://schemas.microsoft.com/office/drawing/2014/main" id="{1A72E6F2-80D7-5B77-CA39-66BE90AF600C}"/>
            </a:ext>
          </a:extLst>
        </xdr:cNvPr>
        <xdr:cNvSpPr/>
      </xdr:nvSpPr>
      <xdr:spPr>
        <a:xfrm>
          <a:off x="3746500" y="762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5</xdr:col>
      <xdr:colOff>317500</xdr:colOff>
      <xdr:row>5</xdr:row>
      <xdr:rowOff>111125</xdr:rowOff>
    </xdr:from>
    <xdr:to>
      <xdr:col>5</xdr:col>
      <xdr:colOff>508000</xdr:colOff>
      <xdr:row>6</xdr:row>
      <xdr:rowOff>120650</xdr:rowOff>
    </xdr:to>
    <xdr:sp macro="SetLED" textlink="">
      <xdr:nvSpPr>
        <xdr:cNvPr id="94392" name="DalekLED410">
          <a:extLst>
            <a:ext uri="{FF2B5EF4-FFF2-40B4-BE49-F238E27FC236}">
              <a16:creationId xmlns:a16="http://schemas.microsoft.com/office/drawing/2014/main" id="{E88D901A-BA37-9877-B515-4120AB7049AD}"/>
            </a:ext>
          </a:extLst>
        </xdr:cNvPr>
        <xdr:cNvSpPr/>
      </xdr:nvSpPr>
      <xdr:spPr>
        <a:xfrm>
          <a:off x="3746500" y="1016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5</xdr:col>
      <xdr:colOff>317500</xdr:colOff>
      <xdr:row>7</xdr:row>
      <xdr:rowOff>3175</xdr:rowOff>
    </xdr:from>
    <xdr:to>
      <xdr:col>5</xdr:col>
      <xdr:colOff>508000</xdr:colOff>
      <xdr:row>8</xdr:row>
      <xdr:rowOff>12700</xdr:rowOff>
    </xdr:to>
    <xdr:sp macro="SetLED" textlink="">
      <xdr:nvSpPr>
        <xdr:cNvPr id="94393" name="DalekLED510">
          <a:extLst>
            <a:ext uri="{FF2B5EF4-FFF2-40B4-BE49-F238E27FC236}">
              <a16:creationId xmlns:a16="http://schemas.microsoft.com/office/drawing/2014/main" id="{493BEB4A-3BE7-8DA8-FECA-B9D38ADF76F9}"/>
            </a:ext>
          </a:extLst>
        </xdr:cNvPr>
        <xdr:cNvSpPr/>
      </xdr:nvSpPr>
      <xdr:spPr>
        <a:xfrm>
          <a:off x="3746500" y="1270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5</xdr:col>
      <xdr:colOff>609600</xdr:colOff>
      <xdr:row>1</xdr:row>
      <xdr:rowOff>41275</xdr:rowOff>
    </xdr:from>
    <xdr:to>
      <xdr:col>6</xdr:col>
      <xdr:colOff>304800</xdr:colOff>
      <xdr:row>8</xdr:row>
      <xdr:rowOff>44450</xdr:rowOff>
    </xdr:to>
    <xdr:sp macro="SetHorDir" textlink="">
      <xdr:nvSpPr>
        <xdr:cNvPr id="94394" name="DalekCol11">
          <a:extLst>
            <a:ext uri="{FF2B5EF4-FFF2-40B4-BE49-F238E27FC236}">
              <a16:creationId xmlns:a16="http://schemas.microsoft.com/office/drawing/2014/main" id="{695311D0-2AB7-8EEC-3E7E-216C45D38BCE}"/>
            </a:ext>
          </a:extLst>
        </xdr:cNvPr>
        <xdr:cNvSpPr/>
      </xdr:nvSpPr>
      <xdr:spPr>
        <a:xfrm>
          <a:off x="4038600" y="222250"/>
          <a:ext cx="381000" cy="1270000"/>
        </a:xfrm>
        <a:prstGeom prst="rect">
          <a:avLst/>
        </a:prstGeom>
        <a:solidFill>
          <a:srgbClr val="969696"/>
        </a:soli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6</xdr:col>
      <xdr:colOff>254000</xdr:colOff>
      <xdr:row>6</xdr:row>
      <xdr:rowOff>57150</xdr:rowOff>
    </xdr:from>
    <xdr:to>
      <xdr:col>6</xdr:col>
      <xdr:colOff>254000</xdr:colOff>
      <xdr:row>8</xdr:row>
      <xdr:rowOff>76200</xdr:rowOff>
    </xdr:to>
    <xdr:cxnSp macro="SetHorDir">
      <xdr:nvCxnSpPr>
        <xdr:cNvPr id="94395" name="DalekColDir11">
          <a:extLst>
            <a:ext uri="{FF2B5EF4-FFF2-40B4-BE49-F238E27FC236}">
              <a16:creationId xmlns:a16="http://schemas.microsoft.com/office/drawing/2014/main" id="{16BD9254-C3EA-9C7F-9B9A-533B8435E46F}"/>
            </a:ext>
          </a:extLst>
        </xdr:cNvPr>
        <xdr:cNvCxnSpPr/>
      </xdr:nvCxnSpPr>
      <xdr:spPr>
        <a:xfrm flipV="1">
          <a:off x="4368800" y="1143000"/>
          <a:ext cx="0" cy="381000"/>
        </a:xfrm>
        <a:prstGeom prst="line">
          <a:avLst/>
        </a:prstGeom>
        <a:noFill/>
        <a:ln w="9525" cap="flat" cmpd="sng" algn="ctr">
          <a:noFill/>
          <a:prstDash val="solid"/>
          <a:tailEnd type="triangle" w="med" len="med"/>
        </a:ln>
        <a:effectLst/>
        <a:extLst>
          <a:ext uri="{91240B29-F687-4F45-9708-019B960494DF}">
            <a14:hiddenLine xmlns:a14="http://schemas.microsoft.com/office/drawing/2010/main" w="9525" cap="flat" cmpd="sng" algn="ctr">
              <a:solidFill>
                <a:schemeClr val="accent1">
                  <a:shade val="95000"/>
                  <a:satMod val="105000"/>
                </a:schemeClr>
              </a:solidFill>
              <a:prstDash val="solid"/>
              <a:tailEnd type="triangle" w="med" len="med"/>
            </a14:hiddenLine>
          </a:ext>
        </a:extLst>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12700</xdr:colOff>
      <xdr:row>1</xdr:row>
      <xdr:rowOff>73025</xdr:rowOff>
    </xdr:from>
    <xdr:to>
      <xdr:col>6</xdr:col>
      <xdr:colOff>203200</xdr:colOff>
      <xdr:row>2</xdr:row>
      <xdr:rowOff>82550</xdr:rowOff>
    </xdr:to>
    <xdr:sp macro="SetLED" textlink="">
      <xdr:nvSpPr>
        <xdr:cNvPr id="94396" name="DalekLED111">
          <a:extLst>
            <a:ext uri="{FF2B5EF4-FFF2-40B4-BE49-F238E27FC236}">
              <a16:creationId xmlns:a16="http://schemas.microsoft.com/office/drawing/2014/main" id="{D2DFD6C3-D695-79D8-C200-35832F212438}"/>
            </a:ext>
          </a:extLst>
        </xdr:cNvPr>
        <xdr:cNvSpPr/>
      </xdr:nvSpPr>
      <xdr:spPr>
        <a:xfrm>
          <a:off x="4127500" y="254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6</xdr:col>
      <xdr:colOff>12700</xdr:colOff>
      <xdr:row>2</xdr:row>
      <xdr:rowOff>146050</xdr:rowOff>
    </xdr:from>
    <xdr:to>
      <xdr:col>6</xdr:col>
      <xdr:colOff>203200</xdr:colOff>
      <xdr:row>3</xdr:row>
      <xdr:rowOff>155575</xdr:rowOff>
    </xdr:to>
    <xdr:sp macro="SetLED" textlink="">
      <xdr:nvSpPr>
        <xdr:cNvPr id="94397" name="DalekLED211">
          <a:extLst>
            <a:ext uri="{FF2B5EF4-FFF2-40B4-BE49-F238E27FC236}">
              <a16:creationId xmlns:a16="http://schemas.microsoft.com/office/drawing/2014/main" id="{AFD44233-7AF5-4263-7D52-4A4AB8233471}"/>
            </a:ext>
          </a:extLst>
        </xdr:cNvPr>
        <xdr:cNvSpPr/>
      </xdr:nvSpPr>
      <xdr:spPr>
        <a:xfrm>
          <a:off x="4127500" y="508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6</xdr:col>
      <xdr:colOff>12700</xdr:colOff>
      <xdr:row>4</xdr:row>
      <xdr:rowOff>38100</xdr:rowOff>
    </xdr:from>
    <xdr:to>
      <xdr:col>6</xdr:col>
      <xdr:colOff>203200</xdr:colOff>
      <xdr:row>5</xdr:row>
      <xdr:rowOff>47625</xdr:rowOff>
    </xdr:to>
    <xdr:sp macro="SetLED" textlink="">
      <xdr:nvSpPr>
        <xdr:cNvPr id="94398" name="DalekLED311">
          <a:extLst>
            <a:ext uri="{FF2B5EF4-FFF2-40B4-BE49-F238E27FC236}">
              <a16:creationId xmlns:a16="http://schemas.microsoft.com/office/drawing/2014/main" id="{F877E642-8535-8378-DABF-96724A7F6A49}"/>
            </a:ext>
          </a:extLst>
        </xdr:cNvPr>
        <xdr:cNvSpPr/>
      </xdr:nvSpPr>
      <xdr:spPr>
        <a:xfrm>
          <a:off x="4127500" y="762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6</xdr:col>
      <xdr:colOff>12700</xdr:colOff>
      <xdr:row>5</xdr:row>
      <xdr:rowOff>111125</xdr:rowOff>
    </xdr:from>
    <xdr:to>
      <xdr:col>6</xdr:col>
      <xdr:colOff>203200</xdr:colOff>
      <xdr:row>6</xdr:row>
      <xdr:rowOff>120650</xdr:rowOff>
    </xdr:to>
    <xdr:sp macro="SetLED" textlink="">
      <xdr:nvSpPr>
        <xdr:cNvPr id="94399" name="DalekLED411">
          <a:extLst>
            <a:ext uri="{FF2B5EF4-FFF2-40B4-BE49-F238E27FC236}">
              <a16:creationId xmlns:a16="http://schemas.microsoft.com/office/drawing/2014/main" id="{E9EFFD55-F6CB-A523-A18C-B117F8D95E50}"/>
            </a:ext>
          </a:extLst>
        </xdr:cNvPr>
        <xdr:cNvSpPr/>
      </xdr:nvSpPr>
      <xdr:spPr>
        <a:xfrm>
          <a:off x="4127500" y="1016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6</xdr:col>
      <xdr:colOff>12700</xdr:colOff>
      <xdr:row>7</xdr:row>
      <xdr:rowOff>3175</xdr:rowOff>
    </xdr:from>
    <xdr:to>
      <xdr:col>6</xdr:col>
      <xdr:colOff>203200</xdr:colOff>
      <xdr:row>8</xdr:row>
      <xdr:rowOff>12700</xdr:rowOff>
    </xdr:to>
    <xdr:sp macro="SetLED" textlink="">
      <xdr:nvSpPr>
        <xdr:cNvPr id="94400" name="DalekLED511">
          <a:extLst>
            <a:ext uri="{FF2B5EF4-FFF2-40B4-BE49-F238E27FC236}">
              <a16:creationId xmlns:a16="http://schemas.microsoft.com/office/drawing/2014/main" id="{6FE7B322-C1FB-C8FE-87AF-A5CC9CB1DBD1}"/>
            </a:ext>
          </a:extLst>
        </xdr:cNvPr>
        <xdr:cNvSpPr/>
      </xdr:nvSpPr>
      <xdr:spPr>
        <a:xfrm>
          <a:off x="4127500" y="1270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6</xdr:col>
      <xdr:colOff>304800</xdr:colOff>
      <xdr:row>1</xdr:row>
      <xdr:rowOff>41275</xdr:rowOff>
    </xdr:from>
    <xdr:to>
      <xdr:col>7</xdr:col>
      <xdr:colOff>0</xdr:colOff>
      <xdr:row>8</xdr:row>
      <xdr:rowOff>44450</xdr:rowOff>
    </xdr:to>
    <xdr:sp macro="SetHorDir" textlink="">
      <xdr:nvSpPr>
        <xdr:cNvPr id="94401" name="DalekCol12">
          <a:extLst>
            <a:ext uri="{FF2B5EF4-FFF2-40B4-BE49-F238E27FC236}">
              <a16:creationId xmlns:a16="http://schemas.microsoft.com/office/drawing/2014/main" id="{2FC7E9CA-BF92-2629-5F4C-D7E1FC505DEE}"/>
            </a:ext>
          </a:extLst>
        </xdr:cNvPr>
        <xdr:cNvSpPr/>
      </xdr:nvSpPr>
      <xdr:spPr>
        <a:xfrm>
          <a:off x="4419600" y="222250"/>
          <a:ext cx="381000" cy="1270000"/>
        </a:xfrm>
        <a:prstGeom prst="rect">
          <a:avLst/>
        </a:prstGeom>
        <a:solidFill>
          <a:srgbClr val="C0C0C0"/>
        </a:soli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6</xdr:col>
      <xdr:colOff>635000</xdr:colOff>
      <xdr:row>6</xdr:row>
      <xdr:rowOff>57150</xdr:rowOff>
    </xdr:from>
    <xdr:to>
      <xdr:col>6</xdr:col>
      <xdr:colOff>635000</xdr:colOff>
      <xdr:row>8</xdr:row>
      <xdr:rowOff>76200</xdr:rowOff>
    </xdr:to>
    <xdr:cxnSp macro="SetHorDir">
      <xdr:nvCxnSpPr>
        <xdr:cNvPr id="94402" name="DalekColDir12">
          <a:extLst>
            <a:ext uri="{FF2B5EF4-FFF2-40B4-BE49-F238E27FC236}">
              <a16:creationId xmlns:a16="http://schemas.microsoft.com/office/drawing/2014/main" id="{5324B185-20BC-536C-3885-F211987D82F4}"/>
            </a:ext>
          </a:extLst>
        </xdr:cNvPr>
        <xdr:cNvCxnSpPr/>
      </xdr:nvCxnSpPr>
      <xdr:spPr>
        <a:xfrm flipV="1">
          <a:off x="4749800" y="1143000"/>
          <a:ext cx="0" cy="381000"/>
        </a:xfrm>
        <a:prstGeom prst="line">
          <a:avLst/>
        </a:prstGeom>
        <a:noFill/>
        <a:ln w="9525" cap="flat" cmpd="sng" algn="ctr">
          <a:noFill/>
          <a:prstDash val="solid"/>
          <a:tailEnd type="triangle" w="med" len="med"/>
        </a:ln>
        <a:effectLst/>
        <a:extLst>
          <a:ext uri="{91240B29-F687-4F45-9708-019B960494DF}">
            <a14:hiddenLine xmlns:a14="http://schemas.microsoft.com/office/drawing/2010/main" w="9525" cap="flat" cmpd="sng" algn="ctr">
              <a:solidFill>
                <a:schemeClr val="accent1">
                  <a:shade val="95000"/>
                  <a:satMod val="105000"/>
                </a:schemeClr>
              </a:solidFill>
              <a:prstDash val="solid"/>
              <a:tailEnd type="triangle" w="med" len="med"/>
            </a14:hiddenLine>
          </a:ext>
        </a:extLst>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393700</xdr:colOff>
      <xdr:row>1</xdr:row>
      <xdr:rowOff>73025</xdr:rowOff>
    </xdr:from>
    <xdr:to>
      <xdr:col>6</xdr:col>
      <xdr:colOff>584200</xdr:colOff>
      <xdr:row>2</xdr:row>
      <xdr:rowOff>82550</xdr:rowOff>
    </xdr:to>
    <xdr:sp macro="SetLED" textlink="">
      <xdr:nvSpPr>
        <xdr:cNvPr id="94403" name="DalekLED112">
          <a:extLst>
            <a:ext uri="{FF2B5EF4-FFF2-40B4-BE49-F238E27FC236}">
              <a16:creationId xmlns:a16="http://schemas.microsoft.com/office/drawing/2014/main" id="{92506AC7-B667-A665-1853-ADD424A9869E}"/>
            </a:ext>
          </a:extLst>
        </xdr:cNvPr>
        <xdr:cNvSpPr/>
      </xdr:nvSpPr>
      <xdr:spPr>
        <a:xfrm>
          <a:off x="4508500" y="254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6</xdr:col>
      <xdr:colOff>393700</xdr:colOff>
      <xdr:row>2</xdr:row>
      <xdr:rowOff>146050</xdr:rowOff>
    </xdr:from>
    <xdr:to>
      <xdr:col>6</xdr:col>
      <xdr:colOff>584200</xdr:colOff>
      <xdr:row>3</xdr:row>
      <xdr:rowOff>155575</xdr:rowOff>
    </xdr:to>
    <xdr:sp macro="SetLED" textlink="">
      <xdr:nvSpPr>
        <xdr:cNvPr id="94404" name="DalekLED212">
          <a:extLst>
            <a:ext uri="{FF2B5EF4-FFF2-40B4-BE49-F238E27FC236}">
              <a16:creationId xmlns:a16="http://schemas.microsoft.com/office/drawing/2014/main" id="{2EC348BA-F4E9-135A-B8BB-D937B0F91936}"/>
            </a:ext>
          </a:extLst>
        </xdr:cNvPr>
        <xdr:cNvSpPr/>
      </xdr:nvSpPr>
      <xdr:spPr>
        <a:xfrm>
          <a:off x="4508500" y="508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6</xdr:col>
      <xdr:colOff>393700</xdr:colOff>
      <xdr:row>4</xdr:row>
      <xdr:rowOff>38100</xdr:rowOff>
    </xdr:from>
    <xdr:to>
      <xdr:col>6</xdr:col>
      <xdr:colOff>584200</xdr:colOff>
      <xdr:row>5</xdr:row>
      <xdr:rowOff>47625</xdr:rowOff>
    </xdr:to>
    <xdr:sp macro="SetLED" textlink="">
      <xdr:nvSpPr>
        <xdr:cNvPr id="94405" name="DalekLED312">
          <a:extLst>
            <a:ext uri="{FF2B5EF4-FFF2-40B4-BE49-F238E27FC236}">
              <a16:creationId xmlns:a16="http://schemas.microsoft.com/office/drawing/2014/main" id="{54CAAAA7-91B3-1DAC-9BB9-EB9C4EF01B59}"/>
            </a:ext>
          </a:extLst>
        </xdr:cNvPr>
        <xdr:cNvSpPr/>
      </xdr:nvSpPr>
      <xdr:spPr>
        <a:xfrm>
          <a:off x="4508500" y="762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6</xdr:col>
      <xdr:colOff>393700</xdr:colOff>
      <xdr:row>5</xdr:row>
      <xdr:rowOff>111125</xdr:rowOff>
    </xdr:from>
    <xdr:to>
      <xdr:col>6</xdr:col>
      <xdr:colOff>584200</xdr:colOff>
      <xdr:row>6</xdr:row>
      <xdr:rowOff>120650</xdr:rowOff>
    </xdr:to>
    <xdr:sp macro="SetLED" textlink="">
      <xdr:nvSpPr>
        <xdr:cNvPr id="94406" name="DalekLED412">
          <a:extLst>
            <a:ext uri="{FF2B5EF4-FFF2-40B4-BE49-F238E27FC236}">
              <a16:creationId xmlns:a16="http://schemas.microsoft.com/office/drawing/2014/main" id="{55BE28C5-B48E-81C8-FB61-260007E9EBC8}"/>
            </a:ext>
          </a:extLst>
        </xdr:cNvPr>
        <xdr:cNvSpPr/>
      </xdr:nvSpPr>
      <xdr:spPr>
        <a:xfrm>
          <a:off x="4508500" y="1016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6</xdr:col>
      <xdr:colOff>393700</xdr:colOff>
      <xdr:row>7</xdr:row>
      <xdr:rowOff>3175</xdr:rowOff>
    </xdr:from>
    <xdr:to>
      <xdr:col>6</xdr:col>
      <xdr:colOff>584200</xdr:colOff>
      <xdr:row>8</xdr:row>
      <xdr:rowOff>12700</xdr:rowOff>
    </xdr:to>
    <xdr:sp macro="SetLED" textlink="">
      <xdr:nvSpPr>
        <xdr:cNvPr id="94407" name="DalekLED512">
          <a:extLst>
            <a:ext uri="{FF2B5EF4-FFF2-40B4-BE49-F238E27FC236}">
              <a16:creationId xmlns:a16="http://schemas.microsoft.com/office/drawing/2014/main" id="{DD3BBAFE-02B9-8AA5-BBE8-647CBE1D7956}"/>
            </a:ext>
          </a:extLst>
        </xdr:cNvPr>
        <xdr:cNvSpPr/>
      </xdr:nvSpPr>
      <xdr:spPr>
        <a:xfrm>
          <a:off x="4508500" y="1270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7</xdr:col>
      <xdr:colOff>0</xdr:colOff>
      <xdr:row>1</xdr:row>
      <xdr:rowOff>41275</xdr:rowOff>
    </xdr:from>
    <xdr:to>
      <xdr:col>7</xdr:col>
      <xdr:colOff>381000</xdr:colOff>
      <xdr:row>8</xdr:row>
      <xdr:rowOff>44450</xdr:rowOff>
    </xdr:to>
    <xdr:sp macro="SetHorDir" textlink="">
      <xdr:nvSpPr>
        <xdr:cNvPr id="94408" name="DalekCol13">
          <a:extLst>
            <a:ext uri="{FF2B5EF4-FFF2-40B4-BE49-F238E27FC236}">
              <a16:creationId xmlns:a16="http://schemas.microsoft.com/office/drawing/2014/main" id="{C0DCD3A8-4AB6-F37B-D232-DB2EEE623257}"/>
            </a:ext>
          </a:extLst>
        </xdr:cNvPr>
        <xdr:cNvSpPr/>
      </xdr:nvSpPr>
      <xdr:spPr>
        <a:xfrm>
          <a:off x="4800600" y="222250"/>
          <a:ext cx="381000" cy="1270000"/>
        </a:xfrm>
        <a:prstGeom prst="rect">
          <a:avLst/>
        </a:prstGeom>
        <a:solidFill>
          <a:srgbClr val="969696"/>
        </a:soli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7</xdr:col>
      <xdr:colOff>330200</xdr:colOff>
      <xdr:row>6</xdr:row>
      <xdr:rowOff>57150</xdr:rowOff>
    </xdr:from>
    <xdr:to>
      <xdr:col>7</xdr:col>
      <xdr:colOff>330200</xdr:colOff>
      <xdr:row>8</xdr:row>
      <xdr:rowOff>76200</xdr:rowOff>
    </xdr:to>
    <xdr:cxnSp macro="SetHorDir">
      <xdr:nvCxnSpPr>
        <xdr:cNvPr id="94409" name="DalekColDir13">
          <a:extLst>
            <a:ext uri="{FF2B5EF4-FFF2-40B4-BE49-F238E27FC236}">
              <a16:creationId xmlns:a16="http://schemas.microsoft.com/office/drawing/2014/main" id="{FC77E068-7F8B-E534-EB60-4CCEF3FE7F16}"/>
            </a:ext>
          </a:extLst>
        </xdr:cNvPr>
        <xdr:cNvCxnSpPr/>
      </xdr:nvCxnSpPr>
      <xdr:spPr>
        <a:xfrm flipV="1">
          <a:off x="5130800" y="1143000"/>
          <a:ext cx="0" cy="381000"/>
        </a:xfrm>
        <a:prstGeom prst="line">
          <a:avLst/>
        </a:prstGeom>
        <a:noFill/>
        <a:ln w="9525" cap="flat" cmpd="sng" algn="ctr">
          <a:noFill/>
          <a:prstDash val="solid"/>
          <a:tailEnd type="triangle" w="med" len="med"/>
        </a:ln>
        <a:effectLst/>
        <a:extLst>
          <a:ext uri="{91240B29-F687-4F45-9708-019B960494DF}">
            <a14:hiddenLine xmlns:a14="http://schemas.microsoft.com/office/drawing/2010/main" w="9525" cap="flat" cmpd="sng" algn="ctr">
              <a:solidFill>
                <a:schemeClr val="accent1">
                  <a:shade val="95000"/>
                  <a:satMod val="105000"/>
                </a:schemeClr>
              </a:solidFill>
              <a:prstDash val="solid"/>
              <a:tailEnd type="triangle" w="med" len="med"/>
            </a14:hiddenLine>
          </a:ext>
        </a:extLst>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88900</xdr:colOff>
      <xdr:row>1</xdr:row>
      <xdr:rowOff>73025</xdr:rowOff>
    </xdr:from>
    <xdr:to>
      <xdr:col>7</xdr:col>
      <xdr:colOff>279400</xdr:colOff>
      <xdr:row>2</xdr:row>
      <xdr:rowOff>82550</xdr:rowOff>
    </xdr:to>
    <xdr:sp macro="SetLED" textlink="">
      <xdr:nvSpPr>
        <xdr:cNvPr id="94410" name="DalekLED113">
          <a:extLst>
            <a:ext uri="{FF2B5EF4-FFF2-40B4-BE49-F238E27FC236}">
              <a16:creationId xmlns:a16="http://schemas.microsoft.com/office/drawing/2014/main" id="{589AEF8C-2C1B-28EA-E7F0-3E4828985FFC}"/>
            </a:ext>
          </a:extLst>
        </xdr:cNvPr>
        <xdr:cNvSpPr/>
      </xdr:nvSpPr>
      <xdr:spPr>
        <a:xfrm>
          <a:off x="4889500" y="254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7</xdr:col>
      <xdr:colOff>88900</xdr:colOff>
      <xdr:row>2</xdr:row>
      <xdr:rowOff>146050</xdr:rowOff>
    </xdr:from>
    <xdr:to>
      <xdr:col>7</xdr:col>
      <xdr:colOff>279400</xdr:colOff>
      <xdr:row>3</xdr:row>
      <xdr:rowOff>155575</xdr:rowOff>
    </xdr:to>
    <xdr:sp macro="SetLED" textlink="">
      <xdr:nvSpPr>
        <xdr:cNvPr id="94411" name="DalekLED213">
          <a:extLst>
            <a:ext uri="{FF2B5EF4-FFF2-40B4-BE49-F238E27FC236}">
              <a16:creationId xmlns:a16="http://schemas.microsoft.com/office/drawing/2014/main" id="{F3B72090-1929-F351-0F55-1C62CF4A802D}"/>
            </a:ext>
          </a:extLst>
        </xdr:cNvPr>
        <xdr:cNvSpPr/>
      </xdr:nvSpPr>
      <xdr:spPr>
        <a:xfrm>
          <a:off x="4889500" y="508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7</xdr:col>
      <xdr:colOff>88900</xdr:colOff>
      <xdr:row>4</xdr:row>
      <xdr:rowOff>38100</xdr:rowOff>
    </xdr:from>
    <xdr:to>
      <xdr:col>7</xdr:col>
      <xdr:colOff>279400</xdr:colOff>
      <xdr:row>5</xdr:row>
      <xdr:rowOff>47625</xdr:rowOff>
    </xdr:to>
    <xdr:sp macro="SetLED" textlink="">
      <xdr:nvSpPr>
        <xdr:cNvPr id="94412" name="DalekLED313">
          <a:extLst>
            <a:ext uri="{FF2B5EF4-FFF2-40B4-BE49-F238E27FC236}">
              <a16:creationId xmlns:a16="http://schemas.microsoft.com/office/drawing/2014/main" id="{3FACFC19-624A-F06E-E96C-E2D0D9667B02}"/>
            </a:ext>
          </a:extLst>
        </xdr:cNvPr>
        <xdr:cNvSpPr/>
      </xdr:nvSpPr>
      <xdr:spPr>
        <a:xfrm>
          <a:off x="4889500" y="762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7</xdr:col>
      <xdr:colOff>88900</xdr:colOff>
      <xdr:row>5</xdr:row>
      <xdr:rowOff>111125</xdr:rowOff>
    </xdr:from>
    <xdr:to>
      <xdr:col>7</xdr:col>
      <xdr:colOff>279400</xdr:colOff>
      <xdr:row>6</xdr:row>
      <xdr:rowOff>120650</xdr:rowOff>
    </xdr:to>
    <xdr:sp macro="SetLED" textlink="">
      <xdr:nvSpPr>
        <xdr:cNvPr id="94413" name="DalekLED413">
          <a:extLst>
            <a:ext uri="{FF2B5EF4-FFF2-40B4-BE49-F238E27FC236}">
              <a16:creationId xmlns:a16="http://schemas.microsoft.com/office/drawing/2014/main" id="{C5E3CA47-FDE6-36E2-E867-CA10377F8867}"/>
            </a:ext>
          </a:extLst>
        </xdr:cNvPr>
        <xdr:cNvSpPr/>
      </xdr:nvSpPr>
      <xdr:spPr>
        <a:xfrm>
          <a:off x="4889500" y="1016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7</xdr:col>
      <xdr:colOff>88900</xdr:colOff>
      <xdr:row>7</xdr:row>
      <xdr:rowOff>3175</xdr:rowOff>
    </xdr:from>
    <xdr:to>
      <xdr:col>7</xdr:col>
      <xdr:colOff>279400</xdr:colOff>
      <xdr:row>8</xdr:row>
      <xdr:rowOff>12700</xdr:rowOff>
    </xdr:to>
    <xdr:sp macro="SetLED" textlink="">
      <xdr:nvSpPr>
        <xdr:cNvPr id="94414" name="DalekLED513">
          <a:extLst>
            <a:ext uri="{FF2B5EF4-FFF2-40B4-BE49-F238E27FC236}">
              <a16:creationId xmlns:a16="http://schemas.microsoft.com/office/drawing/2014/main" id="{F3753DC6-68DD-FF00-1230-6BE17846C2FB}"/>
            </a:ext>
          </a:extLst>
        </xdr:cNvPr>
        <xdr:cNvSpPr/>
      </xdr:nvSpPr>
      <xdr:spPr>
        <a:xfrm>
          <a:off x="4889500" y="1270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7</xdr:col>
      <xdr:colOff>381000</xdr:colOff>
      <xdr:row>1</xdr:row>
      <xdr:rowOff>41275</xdr:rowOff>
    </xdr:from>
    <xdr:to>
      <xdr:col>8</xdr:col>
      <xdr:colOff>76200</xdr:colOff>
      <xdr:row>8</xdr:row>
      <xdr:rowOff>44450</xdr:rowOff>
    </xdr:to>
    <xdr:sp macro="SetHorDir" textlink="">
      <xdr:nvSpPr>
        <xdr:cNvPr id="94415" name="DalekCol14">
          <a:extLst>
            <a:ext uri="{FF2B5EF4-FFF2-40B4-BE49-F238E27FC236}">
              <a16:creationId xmlns:a16="http://schemas.microsoft.com/office/drawing/2014/main" id="{F4367307-B8F0-5534-985F-E795C37C1DB7}"/>
            </a:ext>
          </a:extLst>
        </xdr:cNvPr>
        <xdr:cNvSpPr/>
      </xdr:nvSpPr>
      <xdr:spPr>
        <a:xfrm>
          <a:off x="5181600" y="222250"/>
          <a:ext cx="381000" cy="1270000"/>
        </a:xfrm>
        <a:prstGeom prst="rect">
          <a:avLst/>
        </a:prstGeom>
        <a:solidFill>
          <a:srgbClr val="C0C0C0"/>
        </a:soli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8</xdr:col>
      <xdr:colOff>25400</xdr:colOff>
      <xdr:row>6</xdr:row>
      <xdr:rowOff>57150</xdr:rowOff>
    </xdr:from>
    <xdr:to>
      <xdr:col>8</xdr:col>
      <xdr:colOff>25400</xdr:colOff>
      <xdr:row>8</xdr:row>
      <xdr:rowOff>76200</xdr:rowOff>
    </xdr:to>
    <xdr:cxnSp macro="SetHorDir">
      <xdr:nvCxnSpPr>
        <xdr:cNvPr id="94416" name="DalekColDir14">
          <a:extLst>
            <a:ext uri="{FF2B5EF4-FFF2-40B4-BE49-F238E27FC236}">
              <a16:creationId xmlns:a16="http://schemas.microsoft.com/office/drawing/2014/main" id="{3A19505A-873F-2429-0894-408301831FA2}"/>
            </a:ext>
          </a:extLst>
        </xdr:cNvPr>
        <xdr:cNvCxnSpPr/>
      </xdr:nvCxnSpPr>
      <xdr:spPr>
        <a:xfrm flipV="1">
          <a:off x="5511800" y="1143000"/>
          <a:ext cx="0" cy="381000"/>
        </a:xfrm>
        <a:prstGeom prst="line">
          <a:avLst/>
        </a:prstGeom>
        <a:noFill/>
        <a:ln w="9525" cap="flat" cmpd="sng" algn="ctr">
          <a:noFill/>
          <a:prstDash val="solid"/>
          <a:tailEnd type="triangle" w="med" len="med"/>
        </a:ln>
        <a:effectLst/>
        <a:extLst>
          <a:ext uri="{91240B29-F687-4F45-9708-019B960494DF}">
            <a14:hiddenLine xmlns:a14="http://schemas.microsoft.com/office/drawing/2010/main" w="9525" cap="flat" cmpd="sng" algn="ctr">
              <a:solidFill>
                <a:schemeClr val="accent1">
                  <a:shade val="95000"/>
                  <a:satMod val="105000"/>
                </a:schemeClr>
              </a:solidFill>
              <a:prstDash val="solid"/>
              <a:tailEnd type="triangle" w="med" len="med"/>
            </a14:hiddenLine>
          </a:ext>
        </a:extLst>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469900</xdr:colOff>
      <xdr:row>1</xdr:row>
      <xdr:rowOff>73025</xdr:rowOff>
    </xdr:from>
    <xdr:to>
      <xdr:col>7</xdr:col>
      <xdr:colOff>660400</xdr:colOff>
      <xdr:row>2</xdr:row>
      <xdr:rowOff>82550</xdr:rowOff>
    </xdr:to>
    <xdr:sp macro="SetLED" textlink="">
      <xdr:nvSpPr>
        <xdr:cNvPr id="94417" name="DalekLED114">
          <a:extLst>
            <a:ext uri="{FF2B5EF4-FFF2-40B4-BE49-F238E27FC236}">
              <a16:creationId xmlns:a16="http://schemas.microsoft.com/office/drawing/2014/main" id="{A584F897-B404-76CC-4ADB-997D4D775C8E}"/>
            </a:ext>
          </a:extLst>
        </xdr:cNvPr>
        <xdr:cNvSpPr/>
      </xdr:nvSpPr>
      <xdr:spPr>
        <a:xfrm>
          <a:off x="5270500" y="254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7</xdr:col>
      <xdr:colOff>469900</xdr:colOff>
      <xdr:row>2</xdr:row>
      <xdr:rowOff>146050</xdr:rowOff>
    </xdr:from>
    <xdr:to>
      <xdr:col>7</xdr:col>
      <xdr:colOff>660400</xdr:colOff>
      <xdr:row>3</xdr:row>
      <xdr:rowOff>155575</xdr:rowOff>
    </xdr:to>
    <xdr:sp macro="SetLED" textlink="">
      <xdr:nvSpPr>
        <xdr:cNvPr id="94418" name="DalekLED214">
          <a:extLst>
            <a:ext uri="{FF2B5EF4-FFF2-40B4-BE49-F238E27FC236}">
              <a16:creationId xmlns:a16="http://schemas.microsoft.com/office/drawing/2014/main" id="{19F78600-D7FC-6187-2DFC-CA8F6A75B924}"/>
            </a:ext>
          </a:extLst>
        </xdr:cNvPr>
        <xdr:cNvSpPr/>
      </xdr:nvSpPr>
      <xdr:spPr>
        <a:xfrm>
          <a:off x="5270500" y="508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7</xdr:col>
      <xdr:colOff>469900</xdr:colOff>
      <xdr:row>4</xdr:row>
      <xdr:rowOff>38100</xdr:rowOff>
    </xdr:from>
    <xdr:to>
      <xdr:col>7</xdr:col>
      <xdr:colOff>660400</xdr:colOff>
      <xdr:row>5</xdr:row>
      <xdr:rowOff>47625</xdr:rowOff>
    </xdr:to>
    <xdr:sp macro="SetLED" textlink="">
      <xdr:nvSpPr>
        <xdr:cNvPr id="94419" name="DalekLED314">
          <a:extLst>
            <a:ext uri="{FF2B5EF4-FFF2-40B4-BE49-F238E27FC236}">
              <a16:creationId xmlns:a16="http://schemas.microsoft.com/office/drawing/2014/main" id="{DCA59191-3714-11FF-15F2-5D8260B96100}"/>
            </a:ext>
          </a:extLst>
        </xdr:cNvPr>
        <xdr:cNvSpPr/>
      </xdr:nvSpPr>
      <xdr:spPr>
        <a:xfrm>
          <a:off x="5270500" y="762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7</xdr:col>
      <xdr:colOff>469900</xdr:colOff>
      <xdr:row>5</xdr:row>
      <xdr:rowOff>111125</xdr:rowOff>
    </xdr:from>
    <xdr:to>
      <xdr:col>7</xdr:col>
      <xdr:colOff>660400</xdr:colOff>
      <xdr:row>6</xdr:row>
      <xdr:rowOff>120650</xdr:rowOff>
    </xdr:to>
    <xdr:sp macro="SetLED" textlink="">
      <xdr:nvSpPr>
        <xdr:cNvPr id="94420" name="DalekLED414">
          <a:extLst>
            <a:ext uri="{FF2B5EF4-FFF2-40B4-BE49-F238E27FC236}">
              <a16:creationId xmlns:a16="http://schemas.microsoft.com/office/drawing/2014/main" id="{F2F4E10D-76BB-2030-6BA2-A8F32EE2E8AF}"/>
            </a:ext>
          </a:extLst>
        </xdr:cNvPr>
        <xdr:cNvSpPr/>
      </xdr:nvSpPr>
      <xdr:spPr>
        <a:xfrm>
          <a:off x="5270500" y="1016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7</xdr:col>
      <xdr:colOff>469900</xdr:colOff>
      <xdr:row>7</xdr:row>
      <xdr:rowOff>3175</xdr:rowOff>
    </xdr:from>
    <xdr:to>
      <xdr:col>7</xdr:col>
      <xdr:colOff>660400</xdr:colOff>
      <xdr:row>8</xdr:row>
      <xdr:rowOff>12700</xdr:rowOff>
    </xdr:to>
    <xdr:sp macro="SetLED" textlink="">
      <xdr:nvSpPr>
        <xdr:cNvPr id="94421" name="DalekLED514">
          <a:extLst>
            <a:ext uri="{FF2B5EF4-FFF2-40B4-BE49-F238E27FC236}">
              <a16:creationId xmlns:a16="http://schemas.microsoft.com/office/drawing/2014/main" id="{48E1C91B-93CA-DE8E-8637-FF8C09DDB858}"/>
            </a:ext>
          </a:extLst>
        </xdr:cNvPr>
        <xdr:cNvSpPr/>
      </xdr:nvSpPr>
      <xdr:spPr>
        <a:xfrm>
          <a:off x="5270500" y="1270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8</xdr:col>
      <xdr:colOff>76200</xdr:colOff>
      <xdr:row>1</xdr:row>
      <xdr:rowOff>41275</xdr:rowOff>
    </xdr:from>
    <xdr:to>
      <xdr:col>8</xdr:col>
      <xdr:colOff>457200</xdr:colOff>
      <xdr:row>8</xdr:row>
      <xdr:rowOff>44450</xdr:rowOff>
    </xdr:to>
    <xdr:sp macro="SetHorDir" textlink="">
      <xdr:nvSpPr>
        <xdr:cNvPr id="94422" name="DalekCol15">
          <a:extLst>
            <a:ext uri="{FF2B5EF4-FFF2-40B4-BE49-F238E27FC236}">
              <a16:creationId xmlns:a16="http://schemas.microsoft.com/office/drawing/2014/main" id="{D2AC9768-AB32-0A80-5972-491EC441049F}"/>
            </a:ext>
          </a:extLst>
        </xdr:cNvPr>
        <xdr:cNvSpPr/>
      </xdr:nvSpPr>
      <xdr:spPr>
        <a:xfrm>
          <a:off x="5562600" y="222250"/>
          <a:ext cx="381000" cy="1270000"/>
        </a:xfrm>
        <a:prstGeom prst="rect">
          <a:avLst/>
        </a:prstGeom>
        <a:solidFill>
          <a:srgbClr val="969696"/>
        </a:soli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8</xdr:col>
      <xdr:colOff>406400</xdr:colOff>
      <xdr:row>6</xdr:row>
      <xdr:rowOff>57150</xdr:rowOff>
    </xdr:from>
    <xdr:to>
      <xdr:col>8</xdr:col>
      <xdr:colOff>406400</xdr:colOff>
      <xdr:row>8</xdr:row>
      <xdr:rowOff>76200</xdr:rowOff>
    </xdr:to>
    <xdr:cxnSp macro="SetHorDir">
      <xdr:nvCxnSpPr>
        <xdr:cNvPr id="94423" name="DalekColDir15">
          <a:extLst>
            <a:ext uri="{FF2B5EF4-FFF2-40B4-BE49-F238E27FC236}">
              <a16:creationId xmlns:a16="http://schemas.microsoft.com/office/drawing/2014/main" id="{97E4C8FB-DCB9-50ED-0AA9-F93A2DD7F52F}"/>
            </a:ext>
          </a:extLst>
        </xdr:cNvPr>
        <xdr:cNvCxnSpPr/>
      </xdr:nvCxnSpPr>
      <xdr:spPr>
        <a:xfrm flipV="1">
          <a:off x="5892800" y="1143000"/>
          <a:ext cx="0" cy="381000"/>
        </a:xfrm>
        <a:prstGeom prst="line">
          <a:avLst/>
        </a:prstGeom>
        <a:noFill/>
        <a:ln w="9525" cap="flat" cmpd="sng" algn="ctr">
          <a:noFill/>
          <a:prstDash val="solid"/>
          <a:tailEnd type="triangle" w="med" len="med"/>
        </a:ln>
        <a:effectLst/>
        <a:extLst>
          <a:ext uri="{91240B29-F687-4F45-9708-019B960494DF}">
            <a14:hiddenLine xmlns:a14="http://schemas.microsoft.com/office/drawing/2010/main" w="9525" cap="flat" cmpd="sng" algn="ctr">
              <a:solidFill>
                <a:schemeClr val="accent1">
                  <a:shade val="95000"/>
                  <a:satMod val="105000"/>
                </a:schemeClr>
              </a:solidFill>
              <a:prstDash val="solid"/>
              <a:tailEnd type="triangle" w="med" len="med"/>
            </a14:hiddenLine>
          </a:ext>
        </a:extLst>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165100</xdr:colOff>
      <xdr:row>1</xdr:row>
      <xdr:rowOff>73025</xdr:rowOff>
    </xdr:from>
    <xdr:to>
      <xdr:col>8</xdr:col>
      <xdr:colOff>355600</xdr:colOff>
      <xdr:row>2</xdr:row>
      <xdr:rowOff>82550</xdr:rowOff>
    </xdr:to>
    <xdr:sp macro="SetLED" textlink="">
      <xdr:nvSpPr>
        <xdr:cNvPr id="94424" name="DalekLED115">
          <a:extLst>
            <a:ext uri="{FF2B5EF4-FFF2-40B4-BE49-F238E27FC236}">
              <a16:creationId xmlns:a16="http://schemas.microsoft.com/office/drawing/2014/main" id="{A0352E8D-8154-AB50-0A7D-C746D95476BA}"/>
            </a:ext>
          </a:extLst>
        </xdr:cNvPr>
        <xdr:cNvSpPr/>
      </xdr:nvSpPr>
      <xdr:spPr>
        <a:xfrm>
          <a:off x="5651500" y="254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8</xdr:col>
      <xdr:colOff>165100</xdr:colOff>
      <xdr:row>2</xdr:row>
      <xdr:rowOff>146050</xdr:rowOff>
    </xdr:from>
    <xdr:to>
      <xdr:col>8</xdr:col>
      <xdr:colOff>355600</xdr:colOff>
      <xdr:row>3</xdr:row>
      <xdr:rowOff>155575</xdr:rowOff>
    </xdr:to>
    <xdr:sp macro="SetLED" textlink="">
      <xdr:nvSpPr>
        <xdr:cNvPr id="94425" name="DalekLED215">
          <a:extLst>
            <a:ext uri="{FF2B5EF4-FFF2-40B4-BE49-F238E27FC236}">
              <a16:creationId xmlns:a16="http://schemas.microsoft.com/office/drawing/2014/main" id="{D1663D89-624D-3856-25F8-1C6EA9EB8B82}"/>
            </a:ext>
          </a:extLst>
        </xdr:cNvPr>
        <xdr:cNvSpPr/>
      </xdr:nvSpPr>
      <xdr:spPr>
        <a:xfrm>
          <a:off x="5651500" y="508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8</xdr:col>
      <xdr:colOff>165100</xdr:colOff>
      <xdr:row>4</xdr:row>
      <xdr:rowOff>38100</xdr:rowOff>
    </xdr:from>
    <xdr:to>
      <xdr:col>8</xdr:col>
      <xdr:colOff>355600</xdr:colOff>
      <xdr:row>5</xdr:row>
      <xdr:rowOff>47625</xdr:rowOff>
    </xdr:to>
    <xdr:sp macro="SetLED" textlink="">
      <xdr:nvSpPr>
        <xdr:cNvPr id="94426" name="DalekLED315">
          <a:extLst>
            <a:ext uri="{FF2B5EF4-FFF2-40B4-BE49-F238E27FC236}">
              <a16:creationId xmlns:a16="http://schemas.microsoft.com/office/drawing/2014/main" id="{88358AA8-8BD2-E773-FFD5-2F6562F1E5E6}"/>
            </a:ext>
          </a:extLst>
        </xdr:cNvPr>
        <xdr:cNvSpPr/>
      </xdr:nvSpPr>
      <xdr:spPr>
        <a:xfrm>
          <a:off x="5651500" y="762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8</xdr:col>
      <xdr:colOff>165100</xdr:colOff>
      <xdr:row>5</xdr:row>
      <xdr:rowOff>111125</xdr:rowOff>
    </xdr:from>
    <xdr:to>
      <xdr:col>8</xdr:col>
      <xdr:colOff>355600</xdr:colOff>
      <xdr:row>6</xdr:row>
      <xdr:rowOff>120650</xdr:rowOff>
    </xdr:to>
    <xdr:sp macro="SetLED" textlink="">
      <xdr:nvSpPr>
        <xdr:cNvPr id="94427" name="DalekLED415">
          <a:extLst>
            <a:ext uri="{FF2B5EF4-FFF2-40B4-BE49-F238E27FC236}">
              <a16:creationId xmlns:a16="http://schemas.microsoft.com/office/drawing/2014/main" id="{9A429B11-F593-7390-F3D6-C62C06EAF353}"/>
            </a:ext>
          </a:extLst>
        </xdr:cNvPr>
        <xdr:cNvSpPr/>
      </xdr:nvSpPr>
      <xdr:spPr>
        <a:xfrm>
          <a:off x="5651500" y="1016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8</xdr:col>
      <xdr:colOff>165100</xdr:colOff>
      <xdr:row>7</xdr:row>
      <xdr:rowOff>3175</xdr:rowOff>
    </xdr:from>
    <xdr:to>
      <xdr:col>8</xdr:col>
      <xdr:colOff>355600</xdr:colOff>
      <xdr:row>8</xdr:row>
      <xdr:rowOff>12700</xdr:rowOff>
    </xdr:to>
    <xdr:sp macro="SetLED" textlink="">
      <xdr:nvSpPr>
        <xdr:cNvPr id="94428" name="DalekLED515">
          <a:extLst>
            <a:ext uri="{FF2B5EF4-FFF2-40B4-BE49-F238E27FC236}">
              <a16:creationId xmlns:a16="http://schemas.microsoft.com/office/drawing/2014/main" id="{1FEA4D2C-4EFF-9E15-8FA7-D61C5FABF0C3}"/>
            </a:ext>
          </a:extLst>
        </xdr:cNvPr>
        <xdr:cNvSpPr/>
      </xdr:nvSpPr>
      <xdr:spPr>
        <a:xfrm>
          <a:off x="5651500" y="1270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8</xdr:col>
      <xdr:colOff>457200</xdr:colOff>
      <xdr:row>1</xdr:row>
      <xdr:rowOff>41275</xdr:rowOff>
    </xdr:from>
    <xdr:to>
      <xdr:col>9</xdr:col>
      <xdr:colOff>152400</xdr:colOff>
      <xdr:row>8</xdr:row>
      <xdr:rowOff>44450</xdr:rowOff>
    </xdr:to>
    <xdr:sp macro="SetHorDir" textlink="">
      <xdr:nvSpPr>
        <xdr:cNvPr id="94429" name="DalekCol16">
          <a:extLst>
            <a:ext uri="{FF2B5EF4-FFF2-40B4-BE49-F238E27FC236}">
              <a16:creationId xmlns:a16="http://schemas.microsoft.com/office/drawing/2014/main" id="{598676C5-316C-087B-3158-A017BB541278}"/>
            </a:ext>
          </a:extLst>
        </xdr:cNvPr>
        <xdr:cNvSpPr/>
      </xdr:nvSpPr>
      <xdr:spPr>
        <a:xfrm>
          <a:off x="5943600" y="222250"/>
          <a:ext cx="381000" cy="1270000"/>
        </a:xfrm>
        <a:prstGeom prst="rect">
          <a:avLst/>
        </a:prstGeom>
        <a:solidFill>
          <a:srgbClr val="C0C0C0"/>
        </a:soli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9</xdr:col>
      <xdr:colOff>101600</xdr:colOff>
      <xdr:row>6</xdr:row>
      <xdr:rowOff>57150</xdr:rowOff>
    </xdr:from>
    <xdr:to>
      <xdr:col>9</xdr:col>
      <xdr:colOff>101600</xdr:colOff>
      <xdr:row>8</xdr:row>
      <xdr:rowOff>76200</xdr:rowOff>
    </xdr:to>
    <xdr:cxnSp macro="SetHorDir">
      <xdr:nvCxnSpPr>
        <xdr:cNvPr id="94430" name="DalekColDir16">
          <a:extLst>
            <a:ext uri="{FF2B5EF4-FFF2-40B4-BE49-F238E27FC236}">
              <a16:creationId xmlns:a16="http://schemas.microsoft.com/office/drawing/2014/main" id="{7C0F4A7E-4B57-AE25-2E16-53AACF53589E}"/>
            </a:ext>
          </a:extLst>
        </xdr:cNvPr>
        <xdr:cNvCxnSpPr/>
      </xdr:nvCxnSpPr>
      <xdr:spPr>
        <a:xfrm flipV="1">
          <a:off x="6273800" y="1143000"/>
          <a:ext cx="0" cy="381000"/>
        </a:xfrm>
        <a:prstGeom prst="line">
          <a:avLst/>
        </a:prstGeom>
        <a:noFill/>
        <a:ln w="9525" cap="flat" cmpd="sng" algn="ctr">
          <a:noFill/>
          <a:prstDash val="solid"/>
          <a:tailEnd type="triangle" w="med" len="med"/>
        </a:ln>
        <a:effectLst/>
        <a:extLst>
          <a:ext uri="{91240B29-F687-4F45-9708-019B960494DF}">
            <a14:hiddenLine xmlns:a14="http://schemas.microsoft.com/office/drawing/2010/main" w="9525" cap="flat" cmpd="sng" algn="ctr">
              <a:solidFill>
                <a:schemeClr val="accent1">
                  <a:shade val="95000"/>
                  <a:satMod val="105000"/>
                </a:schemeClr>
              </a:solidFill>
              <a:prstDash val="solid"/>
              <a:tailEnd type="triangle" w="med" len="med"/>
            </a14:hiddenLine>
          </a:ext>
        </a:extLst>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546100</xdr:colOff>
      <xdr:row>1</xdr:row>
      <xdr:rowOff>73025</xdr:rowOff>
    </xdr:from>
    <xdr:to>
      <xdr:col>9</xdr:col>
      <xdr:colOff>50800</xdr:colOff>
      <xdr:row>2</xdr:row>
      <xdr:rowOff>82550</xdr:rowOff>
    </xdr:to>
    <xdr:sp macro="SetLED" textlink="">
      <xdr:nvSpPr>
        <xdr:cNvPr id="94431" name="DalekLED116">
          <a:extLst>
            <a:ext uri="{FF2B5EF4-FFF2-40B4-BE49-F238E27FC236}">
              <a16:creationId xmlns:a16="http://schemas.microsoft.com/office/drawing/2014/main" id="{8E712ABE-7E48-24BC-2988-AB2E57C8E279}"/>
            </a:ext>
          </a:extLst>
        </xdr:cNvPr>
        <xdr:cNvSpPr/>
      </xdr:nvSpPr>
      <xdr:spPr>
        <a:xfrm>
          <a:off x="6032500" y="254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8</xdr:col>
      <xdr:colOff>546100</xdr:colOff>
      <xdr:row>2</xdr:row>
      <xdr:rowOff>146050</xdr:rowOff>
    </xdr:from>
    <xdr:to>
      <xdr:col>9</xdr:col>
      <xdr:colOff>50800</xdr:colOff>
      <xdr:row>3</xdr:row>
      <xdr:rowOff>155575</xdr:rowOff>
    </xdr:to>
    <xdr:sp macro="SetLED" textlink="">
      <xdr:nvSpPr>
        <xdr:cNvPr id="94432" name="DalekLED216">
          <a:extLst>
            <a:ext uri="{FF2B5EF4-FFF2-40B4-BE49-F238E27FC236}">
              <a16:creationId xmlns:a16="http://schemas.microsoft.com/office/drawing/2014/main" id="{9DD0158D-DF6C-A6D7-90CF-81D4DA9395C4}"/>
            </a:ext>
          </a:extLst>
        </xdr:cNvPr>
        <xdr:cNvSpPr/>
      </xdr:nvSpPr>
      <xdr:spPr>
        <a:xfrm>
          <a:off x="6032500" y="508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8</xdr:col>
      <xdr:colOff>546100</xdr:colOff>
      <xdr:row>4</xdr:row>
      <xdr:rowOff>38100</xdr:rowOff>
    </xdr:from>
    <xdr:to>
      <xdr:col>9</xdr:col>
      <xdr:colOff>50800</xdr:colOff>
      <xdr:row>5</xdr:row>
      <xdr:rowOff>47625</xdr:rowOff>
    </xdr:to>
    <xdr:sp macro="SetLED" textlink="">
      <xdr:nvSpPr>
        <xdr:cNvPr id="94433" name="DalekLED316">
          <a:extLst>
            <a:ext uri="{FF2B5EF4-FFF2-40B4-BE49-F238E27FC236}">
              <a16:creationId xmlns:a16="http://schemas.microsoft.com/office/drawing/2014/main" id="{99B2B27F-A783-DBF4-FFEF-7066C517665F}"/>
            </a:ext>
          </a:extLst>
        </xdr:cNvPr>
        <xdr:cNvSpPr/>
      </xdr:nvSpPr>
      <xdr:spPr>
        <a:xfrm>
          <a:off x="6032500" y="762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8</xdr:col>
      <xdr:colOff>546100</xdr:colOff>
      <xdr:row>5</xdr:row>
      <xdr:rowOff>111125</xdr:rowOff>
    </xdr:from>
    <xdr:to>
      <xdr:col>9</xdr:col>
      <xdr:colOff>50800</xdr:colOff>
      <xdr:row>6</xdr:row>
      <xdr:rowOff>120650</xdr:rowOff>
    </xdr:to>
    <xdr:sp macro="SetLED" textlink="">
      <xdr:nvSpPr>
        <xdr:cNvPr id="94434" name="DalekLED416">
          <a:extLst>
            <a:ext uri="{FF2B5EF4-FFF2-40B4-BE49-F238E27FC236}">
              <a16:creationId xmlns:a16="http://schemas.microsoft.com/office/drawing/2014/main" id="{4FA0CE65-9497-5872-8C8B-2693DB626244}"/>
            </a:ext>
          </a:extLst>
        </xdr:cNvPr>
        <xdr:cNvSpPr/>
      </xdr:nvSpPr>
      <xdr:spPr>
        <a:xfrm>
          <a:off x="6032500" y="1016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8</xdr:col>
      <xdr:colOff>546100</xdr:colOff>
      <xdr:row>7</xdr:row>
      <xdr:rowOff>3175</xdr:rowOff>
    </xdr:from>
    <xdr:to>
      <xdr:col>9</xdr:col>
      <xdr:colOff>50800</xdr:colOff>
      <xdr:row>8</xdr:row>
      <xdr:rowOff>12700</xdr:rowOff>
    </xdr:to>
    <xdr:sp macro="SetLED" textlink="">
      <xdr:nvSpPr>
        <xdr:cNvPr id="94435" name="DalekLED516">
          <a:extLst>
            <a:ext uri="{FF2B5EF4-FFF2-40B4-BE49-F238E27FC236}">
              <a16:creationId xmlns:a16="http://schemas.microsoft.com/office/drawing/2014/main" id="{1BA8C92D-9EDC-1848-DB5F-F122F12226F2}"/>
            </a:ext>
          </a:extLst>
        </xdr:cNvPr>
        <xdr:cNvSpPr/>
      </xdr:nvSpPr>
      <xdr:spPr>
        <a:xfrm>
          <a:off x="6032500" y="1270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9</xdr:col>
      <xdr:colOff>152400</xdr:colOff>
      <xdr:row>1</xdr:row>
      <xdr:rowOff>41275</xdr:rowOff>
    </xdr:from>
    <xdr:to>
      <xdr:col>9</xdr:col>
      <xdr:colOff>533400</xdr:colOff>
      <xdr:row>8</xdr:row>
      <xdr:rowOff>44450</xdr:rowOff>
    </xdr:to>
    <xdr:sp macro="SetHorDir" textlink="">
      <xdr:nvSpPr>
        <xdr:cNvPr id="94436" name="DalekCol17">
          <a:extLst>
            <a:ext uri="{FF2B5EF4-FFF2-40B4-BE49-F238E27FC236}">
              <a16:creationId xmlns:a16="http://schemas.microsoft.com/office/drawing/2014/main" id="{EF6907B3-AF31-E675-2DDF-DD763C4E2D2E}"/>
            </a:ext>
          </a:extLst>
        </xdr:cNvPr>
        <xdr:cNvSpPr/>
      </xdr:nvSpPr>
      <xdr:spPr>
        <a:xfrm>
          <a:off x="6324600" y="222250"/>
          <a:ext cx="381000" cy="1270000"/>
        </a:xfrm>
        <a:prstGeom prst="rect">
          <a:avLst/>
        </a:prstGeom>
        <a:solidFill>
          <a:srgbClr val="969696"/>
        </a:soli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9</xdr:col>
      <xdr:colOff>482600</xdr:colOff>
      <xdr:row>6</xdr:row>
      <xdr:rowOff>57150</xdr:rowOff>
    </xdr:from>
    <xdr:to>
      <xdr:col>9</xdr:col>
      <xdr:colOff>482600</xdr:colOff>
      <xdr:row>8</xdr:row>
      <xdr:rowOff>76200</xdr:rowOff>
    </xdr:to>
    <xdr:cxnSp macro="SetHorDir">
      <xdr:nvCxnSpPr>
        <xdr:cNvPr id="94437" name="DalekColDir17">
          <a:extLst>
            <a:ext uri="{FF2B5EF4-FFF2-40B4-BE49-F238E27FC236}">
              <a16:creationId xmlns:a16="http://schemas.microsoft.com/office/drawing/2014/main" id="{E3885E99-ADB0-9451-B4B1-9EB1121B8182}"/>
            </a:ext>
          </a:extLst>
        </xdr:cNvPr>
        <xdr:cNvCxnSpPr/>
      </xdr:nvCxnSpPr>
      <xdr:spPr>
        <a:xfrm flipV="1">
          <a:off x="6654800" y="1143000"/>
          <a:ext cx="0" cy="381000"/>
        </a:xfrm>
        <a:prstGeom prst="line">
          <a:avLst/>
        </a:prstGeom>
        <a:noFill/>
        <a:ln w="9525" cap="flat" cmpd="sng" algn="ctr">
          <a:noFill/>
          <a:prstDash val="solid"/>
          <a:tailEnd type="triangle" w="med" len="med"/>
        </a:ln>
        <a:effectLst/>
        <a:extLst>
          <a:ext uri="{91240B29-F687-4F45-9708-019B960494DF}">
            <a14:hiddenLine xmlns:a14="http://schemas.microsoft.com/office/drawing/2010/main" w="9525" cap="flat" cmpd="sng" algn="ctr">
              <a:solidFill>
                <a:schemeClr val="accent1">
                  <a:shade val="95000"/>
                  <a:satMod val="105000"/>
                </a:schemeClr>
              </a:solidFill>
              <a:prstDash val="solid"/>
              <a:tailEnd type="triangle" w="med" len="med"/>
            </a14:hiddenLine>
          </a:ext>
        </a:extLst>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241300</xdr:colOff>
      <xdr:row>1</xdr:row>
      <xdr:rowOff>73025</xdr:rowOff>
    </xdr:from>
    <xdr:to>
      <xdr:col>9</xdr:col>
      <xdr:colOff>431800</xdr:colOff>
      <xdr:row>2</xdr:row>
      <xdr:rowOff>82550</xdr:rowOff>
    </xdr:to>
    <xdr:sp macro="SetLED" textlink="">
      <xdr:nvSpPr>
        <xdr:cNvPr id="94438" name="DalekLED117">
          <a:extLst>
            <a:ext uri="{FF2B5EF4-FFF2-40B4-BE49-F238E27FC236}">
              <a16:creationId xmlns:a16="http://schemas.microsoft.com/office/drawing/2014/main" id="{910F2999-D1BC-DE23-3136-DB8DA5EAD49A}"/>
            </a:ext>
          </a:extLst>
        </xdr:cNvPr>
        <xdr:cNvSpPr/>
      </xdr:nvSpPr>
      <xdr:spPr>
        <a:xfrm>
          <a:off x="6413500" y="254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9</xdr:col>
      <xdr:colOff>241300</xdr:colOff>
      <xdr:row>2</xdr:row>
      <xdr:rowOff>146050</xdr:rowOff>
    </xdr:from>
    <xdr:to>
      <xdr:col>9</xdr:col>
      <xdr:colOff>431800</xdr:colOff>
      <xdr:row>3</xdr:row>
      <xdr:rowOff>155575</xdr:rowOff>
    </xdr:to>
    <xdr:sp macro="SetLED" textlink="">
      <xdr:nvSpPr>
        <xdr:cNvPr id="94439" name="DalekLED217">
          <a:extLst>
            <a:ext uri="{FF2B5EF4-FFF2-40B4-BE49-F238E27FC236}">
              <a16:creationId xmlns:a16="http://schemas.microsoft.com/office/drawing/2014/main" id="{B8E1F101-4F85-ACA5-5A3A-7D9D772EC46E}"/>
            </a:ext>
          </a:extLst>
        </xdr:cNvPr>
        <xdr:cNvSpPr/>
      </xdr:nvSpPr>
      <xdr:spPr>
        <a:xfrm>
          <a:off x="6413500" y="508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9</xdr:col>
      <xdr:colOff>241300</xdr:colOff>
      <xdr:row>4</xdr:row>
      <xdr:rowOff>38100</xdr:rowOff>
    </xdr:from>
    <xdr:to>
      <xdr:col>9</xdr:col>
      <xdr:colOff>431800</xdr:colOff>
      <xdr:row>5</xdr:row>
      <xdr:rowOff>47625</xdr:rowOff>
    </xdr:to>
    <xdr:sp macro="SetLED" textlink="">
      <xdr:nvSpPr>
        <xdr:cNvPr id="94440" name="DalekLED317">
          <a:extLst>
            <a:ext uri="{FF2B5EF4-FFF2-40B4-BE49-F238E27FC236}">
              <a16:creationId xmlns:a16="http://schemas.microsoft.com/office/drawing/2014/main" id="{629E60B3-50C0-2B71-5A0C-2FBDFEA78C19}"/>
            </a:ext>
          </a:extLst>
        </xdr:cNvPr>
        <xdr:cNvSpPr/>
      </xdr:nvSpPr>
      <xdr:spPr>
        <a:xfrm>
          <a:off x="6413500" y="762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9</xdr:col>
      <xdr:colOff>241300</xdr:colOff>
      <xdr:row>5</xdr:row>
      <xdr:rowOff>111125</xdr:rowOff>
    </xdr:from>
    <xdr:to>
      <xdr:col>9</xdr:col>
      <xdr:colOff>431800</xdr:colOff>
      <xdr:row>6</xdr:row>
      <xdr:rowOff>120650</xdr:rowOff>
    </xdr:to>
    <xdr:sp macro="SetLED" textlink="">
      <xdr:nvSpPr>
        <xdr:cNvPr id="94441" name="DalekLED417">
          <a:extLst>
            <a:ext uri="{FF2B5EF4-FFF2-40B4-BE49-F238E27FC236}">
              <a16:creationId xmlns:a16="http://schemas.microsoft.com/office/drawing/2014/main" id="{58C9E48A-9000-ECC4-6C15-43AF3E9420F3}"/>
            </a:ext>
          </a:extLst>
        </xdr:cNvPr>
        <xdr:cNvSpPr/>
      </xdr:nvSpPr>
      <xdr:spPr>
        <a:xfrm>
          <a:off x="6413500" y="1016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9</xdr:col>
      <xdr:colOff>241300</xdr:colOff>
      <xdr:row>7</xdr:row>
      <xdr:rowOff>3175</xdr:rowOff>
    </xdr:from>
    <xdr:to>
      <xdr:col>9</xdr:col>
      <xdr:colOff>431800</xdr:colOff>
      <xdr:row>8</xdr:row>
      <xdr:rowOff>12700</xdr:rowOff>
    </xdr:to>
    <xdr:sp macro="SetLED" textlink="">
      <xdr:nvSpPr>
        <xdr:cNvPr id="94442" name="DalekLED517">
          <a:extLst>
            <a:ext uri="{FF2B5EF4-FFF2-40B4-BE49-F238E27FC236}">
              <a16:creationId xmlns:a16="http://schemas.microsoft.com/office/drawing/2014/main" id="{881CA56F-4B42-E3ED-1CB0-0996AF21467C}"/>
            </a:ext>
          </a:extLst>
        </xdr:cNvPr>
        <xdr:cNvSpPr/>
      </xdr:nvSpPr>
      <xdr:spPr>
        <a:xfrm>
          <a:off x="6413500" y="1270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9</xdr:col>
      <xdr:colOff>533400</xdr:colOff>
      <xdr:row>1</xdr:row>
      <xdr:rowOff>41275</xdr:rowOff>
    </xdr:from>
    <xdr:to>
      <xdr:col>10</xdr:col>
      <xdr:colOff>228600</xdr:colOff>
      <xdr:row>8</xdr:row>
      <xdr:rowOff>44450</xdr:rowOff>
    </xdr:to>
    <xdr:sp macro="SetHorDir" textlink="">
      <xdr:nvSpPr>
        <xdr:cNvPr id="94443" name="DalekCol18">
          <a:extLst>
            <a:ext uri="{FF2B5EF4-FFF2-40B4-BE49-F238E27FC236}">
              <a16:creationId xmlns:a16="http://schemas.microsoft.com/office/drawing/2014/main" id="{5BA72C9C-5EF1-1C28-48A0-82EE5BEDEE59}"/>
            </a:ext>
          </a:extLst>
        </xdr:cNvPr>
        <xdr:cNvSpPr/>
      </xdr:nvSpPr>
      <xdr:spPr>
        <a:xfrm>
          <a:off x="6705600" y="222250"/>
          <a:ext cx="381000" cy="1270000"/>
        </a:xfrm>
        <a:prstGeom prst="rect">
          <a:avLst/>
        </a:prstGeom>
        <a:solidFill>
          <a:srgbClr val="C0C0C0"/>
        </a:soli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10</xdr:col>
      <xdr:colOff>177800</xdr:colOff>
      <xdr:row>6</xdr:row>
      <xdr:rowOff>57150</xdr:rowOff>
    </xdr:from>
    <xdr:to>
      <xdr:col>10</xdr:col>
      <xdr:colOff>177800</xdr:colOff>
      <xdr:row>8</xdr:row>
      <xdr:rowOff>76200</xdr:rowOff>
    </xdr:to>
    <xdr:cxnSp macro="SetHorDir">
      <xdr:nvCxnSpPr>
        <xdr:cNvPr id="94444" name="DalekColDir18">
          <a:extLst>
            <a:ext uri="{FF2B5EF4-FFF2-40B4-BE49-F238E27FC236}">
              <a16:creationId xmlns:a16="http://schemas.microsoft.com/office/drawing/2014/main" id="{81634F90-6531-0A82-D1AE-C10C9CBED3EA}"/>
            </a:ext>
          </a:extLst>
        </xdr:cNvPr>
        <xdr:cNvCxnSpPr/>
      </xdr:nvCxnSpPr>
      <xdr:spPr>
        <a:xfrm flipV="1">
          <a:off x="7035800" y="1143000"/>
          <a:ext cx="0" cy="381000"/>
        </a:xfrm>
        <a:prstGeom prst="line">
          <a:avLst/>
        </a:prstGeom>
        <a:noFill/>
        <a:ln w="9525" cap="flat" cmpd="sng" algn="ctr">
          <a:noFill/>
          <a:prstDash val="solid"/>
          <a:tailEnd type="triangle" w="med" len="med"/>
        </a:ln>
        <a:effectLst/>
        <a:extLst>
          <a:ext uri="{91240B29-F687-4F45-9708-019B960494DF}">
            <a14:hiddenLine xmlns:a14="http://schemas.microsoft.com/office/drawing/2010/main" w="9525" cap="flat" cmpd="sng" algn="ctr">
              <a:solidFill>
                <a:schemeClr val="accent1">
                  <a:shade val="95000"/>
                  <a:satMod val="105000"/>
                </a:schemeClr>
              </a:solidFill>
              <a:prstDash val="solid"/>
              <a:tailEnd type="triangle" w="med" len="med"/>
            </a14:hiddenLine>
          </a:ext>
        </a:extLst>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622300</xdr:colOff>
      <xdr:row>1</xdr:row>
      <xdr:rowOff>73025</xdr:rowOff>
    </xdr:from>
    <xdr:to>
      <xdr:col>10</xdr:col>
      <xdr:colOff>127000</xdr:colOff>
      <xdr:row>2</xdr:row>
      <xdr:rowOff>82550</xdr:rowOff>
    </xdr:to>
    <xdr:sp macro="SetLED" textlink="">
      <xdr:nvSpPr>
        <xdr:cNvPr id="94445" name="DalekLED118">
          <a:extLst>
            <a:ext uri="{FF2B5EF4-FFF2-40B4-BE49-F238E27FC236}">
              <a16:creationId xmlns:a16="http://schemas.microsoft.com/office/drawing/2014/main" id="{9E117C5D-5A4C-3D40-4373-F192C82B560D}"/>
            </a:ext>
          </a:extLst>
        </xdr:cNvPr>
        <xdr:cNvSpPr/>
      </xdr:nvSpPr>
      <xdr:spPr>
        <a:xfrm>
          <a:off x="6794500" y="254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9</xdr:col>
      <xdr:colOff>622300</xdr:colOff>
      <xdr:row>2</xdr:row>
      <xdr:rowOff>146050</xdr:rowOff>
    </xdr:from>
    <xdr:to>
      <xdr:col>10</xdr:col>
      <xdr:colOff>127000</xdr:colOff>
      <xdr:row>3</xdr:row>
      <xdr:rowOff>155575</xdr:rowOff>
    </xdr:to>
    <xdr:sp macro="SetLED" textlink="">
      <xdr:nvSpPr>
        <xdr:cNvPr id="94446" name="DalekLED218">
          <a:extLst>
            <a:ext uri="{FF2B5EF4-FFF2-40B4-BE49-F238E27FC236}">
              <a16:creationId xmlns:a16="http://schemas.microsoft.com/office/drawing/2014/main" id="{DD01BBEC-EDB7-25A9-9FE7-9B226397CC13}"/>
            </a:ext>
          </a:extLst>
        </xdr:cNvPr>
        <xdr:cNvSpPr/>
      </xdr:nvSpPr>
      <xdr:spPr>
        <a:xfrm>
          <a:off x="6794500" y="508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9</xdr:col>
      <xdr:colOff>622300</xdr:colOff>
      <xdr:row>4</xdr:row>
      <xdr:rowOff>38100</xdr:rowOff>
    </xdr:from>
    <xdr:to>
      <xdr:col>10</xdr:col>
      <xdr:colOff>127000</xdr:colOff>
      <xdr:row>5</xdr:row>
      <xdr:rowOff>47625</xdr:rowOff>
    </xdr:to>
    <xdr:sp macro="SetLED" textlink="">
      <xdr:nvSpPr>
        <xdr:cNvPr id="94447" name="DalekLED318">
          <a:extLst>
            <a:ext uri="{FF2B5EF4-FFF2-40B4-BE49-F238E27FC236}">
              <a16:creationId xmlns:a16="http://schemas.microsoft.com/office/drawing/2014/main" id="{C9F4E4CE-B358-19AF-FC9A-92B464311A18}"/>
            </a:ext>
          </a:extLst>
        </xdr:cNvPr>
        <xdr:cNvSpPr/>
      </xdr:nvSpPr>
      <xdr:spPr>
        <a:xfrm>
          <a:off x="6794500" y="762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9</xdr:col>
      <xdr:colOff>622300</xdr:colOff>
      <xdr:row>5</xdr:row>
      <xdr:rowOff>111125</xdr:rowOff>
    </xdr:from>
    <xdr:to>
      <xdr:col>10</xdr:col>
      <xdr:colOff>127000</xdr:colOff>
      <xdr:row>6</xdr:row>
      <xdr:rowOff>120650</xdr:rowOff>
    </xdr:to>
    <xdr:sp macro="SetLED" textlink="">
      <xdr:nvSpPr>
        <xdr:cNvPr id="94448" name="DalekLED418">
          <a:extLst>
            <a:ext uri="{FF2B5EF4-FFF2-40B4-BE49-F238E27FC236}">
              <a16:creationId xmlns:a16="http://schemas.microsoft.com/office/drawing/2014/main" id="{E0E4CE61-5C67-D5CE-E0EE-90E658B89188}"/>
            </a:ext>
          </a:extLst>
        </xdr:cNvPr>
        <xdr:cNvSpPr/>
      </xdr:nvSpPr>
      <xdr:spPr>
        <a:xfrm>
          <a:off x="6794500" y="1016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9</xdr:col>
      <xdr:colOff>622300</xdr:colOff>
      <xdr:row>7</xdr:row>
      <xdr:rowOff>3175</xdr:rowOff>
    </xdr:from>
    <xdr:to>
      <xdr:col>10</xdr:col>
      <xdr:colOff>127000</xdr:colOff>
      <xdr:row>8</xdr:row>
      <xdr:rowOff>12700</xdr:rowOff>
    </xdr:to>
    <xdr:sp macro="SetLED" textlink="">
      <xdr:nvSpPr>
        <xdr:cNvPr id="94449" name="DalekLED518">
          <a:extLst>
            <a:ext uri="{FF2B5EF4-FFF2-40B4-BE49-F238E27FC236}">
              <a16:creationId xmlns:a16="http://schemas.microsoft.com/office/drawing/2014/main" id="{7C30085A-758C-BE8A-3AE9-CDB082BB36ED}"/>
            </a:ext>
          </a:extLst>
        </xdr:cNvPr>
        <xdr:cNvSpPr/>
      </xdr:nvSpPr>
      <xdr:spPr>
        <a:xfrm>
          <a:off x="6794500" y="1270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10</xdr:col>
      <xdr:colOff>228600</xdr:colOff>
      <xdr:row>1</xdr:row>
      <xdr:rowOff>41275</xdr:rowOff>
    </xdr:from>
    <xdr:to>
      <xdr:col>10</xdr:col>
      <xdr:colOff>609600</xdr:colOff>
      <xdr:row>8</xdr:row>
      <xdr:rowOff>44450</xdr:rowOff>
    </xdr:to>
    <xdr:sp macro="SetHorDir" textlink="">
      <xdr:nvSpPr>
        <xdr:cNvPr id="94450" name="DalekCol19">
          <a:extLst>
            <a:ext uri="{FF2B5EF4-FFF2-40B4-BE49-F238E27FC236}">
              <a16:creationId xmlns:a16="http://schemas.microsoft.com/office/drawing/2014/main" id="{4651C1C9-EE9B-6048-6A66-62F811D27320}"/>
            </a:ext>
          </a:extLst>
        </xdr:cNvPr>
        <xdr:cNvSpPr/>
      </xdr:nvSpPr>
      <xdr:spPr>
        <a:xfrm>
          <a:off x="7086600" y="222250"/>
          <a:ext cx="381000" cy="1270000"/>
        </a:xfrm>
        <a:prstGeom prst="rect">
          <a:avLst/>
        </a:prstGeom>
        <a:solidFill>
          <a:srgbClr val="969696"/>
        </a:soli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10</xdr:col>
      <xdr:colOff>558800</xdr:colOff>
      <xdr:row>6</xdr:row>
      <xdr:rowOff>57150</xdr:rowOff>
    </xdr:from>
    <xdr:to>
      <xdr:col>10</xdr:col>
      <xdr:colOff>558800</xdr:colOff>
      <xdr:row>8</xdr:row>
      <xdr:rowOff>76200</xdr:rowOff>
    </xdr:to>
    <xdr:cxnSp macro="SetHorDir">
      <xdr:nvCxnSpPr>
        <xdr:cNvPr id="94451" name="DalekColDir19">
          <a:extLst>
            <a:ext uri="{FF2B5EF4-FFF2-40B4-BE49-F238E27FC236}">
              <a16:creationId xmlns:a16="http://schemas.microsoft.com/office/drawing/2014/main" id="{D38BB122-8224-A793-5224-B819CE66E5CF}"/>
            </a:ext>
          </a:extLst>
        </xdr:cNvPr>
        <xdr:cNvCxnSpPr/>
      </xdr:nvCxnSpPr>
      <xdr:spPr>
        <a:xfrm flipV="1">
          <a:off x="7416800" y="1143000"/>
          <a:ext cx="0" cy="381000"/>
        </a:xfrm>
        <a:prstGeom prst="line">
          <a:avLst/>
        </a:prstGeom>
        <a:noFill/>
        <a:ln w="9525" cap="flat" cmpd="sng" algn="ctr">
          <a:noFill/>
          <a:prstDash val="solid"/>
          <a:tailEnd type="triangle" w="med" len="med"/>
        </a:ln>
        <a:effectLst/>
        <a:extLst>
          <a:ext uri="{91240B29-F687-4F45-9708-019B960494DF}">
            <a14:hiddenLine xmlns:a14="http://schemas.microsoft.com/office/drawing/2010/main" w="9525" cap="flat" cmpd="sng" algn="ctr">
              <a:solidFill>
                <a:schemeClr val="accent1">
                  <a:shade val="95000"/>
                  <a:satMod val="105000"/>
                </a:schemeClr>
              </a:solidFill>
              <a:prstDash val="solid"/>
              <a:tailEnd type="triangle" w="med" len="med"/>
            </a14:hiddenLine>
          </a:ext>
        </a:extLst>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317500</xdr:colOff>
      <xdr:row>1</xdr:row>
      <xdr:rowOff>73025</xdr:rowOff>
    </xdr:from>
    <xdr:to>
      <xdr:col>10</xdr:col>
      <xdr:colOff>508000</xdr:colOff>
      <xdr:row>2</xdr:row>
      <xdr:rowOff>82550</xdr:rowOff>
    </xdr:to>
    <xdr:sp macro="SetLED" textlink="">
      <xdr:nvSpPr>
        <xdr:cNvPr id="94452" name="DalekLED119">
          <a:extLst>
            <a:ext uri="{FF2B5EF4-FFF2-40B4-BE49-F238E27FC236}">
              <a16:creationId xmlns:a16="http://schemas.microsoft.com/office/drawing/2014/main" id="{43051BCC-B332-B6B6-787A-E95E661A20A3}"/>
            </a:ext>
          </a:extLst>
        </xdr:cNvPr>
        <xdr:cNvSpPr/>
      </xdr:nvSpPr>
      <xdr:spPr>
        <a:xfrm>
          <a:off x="7175500" y="254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10</xdr:col>
      <xdr:colOff>317500</xdr:colOff>
      <xdr:row>2</xdr:row>
      <xdr:rowOff>146050</xdr:rowOff>
    </xdr:from>
    <xdr:to>
      <xdr:col>10</xdr:col>
      <xdr:colOff>508000</xdr:colOff>
      <xdr:row>3</xdr:row>
      <xdr:rowOff>155575</xdr:rowOff>
    </xdr:to>
    <xdr:sp macro="SetLED" textlink="">
      <xdr:nvSpPr>
        <xdr:cNvPr id="94453" name="DalekLED219">
          <a:extLst>
            <a:ext uri="{FF2B5EF4-FFF2-40B4-BE49-F238E27FC236}">
              <a16:creationId xmlns:a16="http://schemas.microsoft.com/office/drawing/2014/main" id="{ED8EBC1A-E5AE-0F41-8916-1428C5B32039}"/>
            </a:ext>
          </a:extLst>
        </xdr:cNvPr>
        <xdr:cNvSpPr/>
      </xdr:nvSpPr>
      <xdr:spPr>
        <a:xfrm>
          <a:off x="7175500" y="508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10</xdr:col>
      <xdr:colOff>317500</xdr:colOff>
      <xdr:row>4</xdr:row>
      <xdr:rowOff>38100</xdr:rowOff>
    </xdr:from>
    <xdr:to>
      <xdr:col>10</xdr:col>
      <xdr:colOff>508000</xdr:colOff>
      <xdr:row>5</xdr:row>
      <xdr:rowOff>47625</xdr:rowOff>
    </xdr:to>
    <xdr:sp macro="SetLED" textlink="">
      <xdr:nvSpPr>
        <xdr:cNvPr id="94454" name="DalekLED319">
          <a:extLst>
            <a:ext uri="{FF2B5EF4-FFF2-40B4-BE49-F238E27FC236}">
              <a16:creationId xmlns:a16="http://schemas.microsoft.com/office/drawing/2014/main" id="{53077296-7DB8-C501-D9AC-10AB19A26F8D}"/>
            </a:ext>
          </a:extLst>
        </xdr:cNvPr>
        <xdr:cNvSpPr/>
      </xdr:nvSpPr>
      <xdr:spPr>
        <a:xfrm>
          <a:off x="7175500" y="762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10</xdr:col>
      <xdr:colOff>317500</xdr:colOff>
      <xdr:row>5</xdr:row>
      <xdr:rowOff>111125</xdr:rowOff>
    </xdr:from>
    <xdr:to>
      <xdr:col>10</xdr:col>
      <xdr:colOff>508000</xdr:colOff>
      <xdr:row>6</xdr:row>
      <xdr:rowOff>120650</xdr:rowOff>
    </xdr:to>
    <xdr:sp macro="SetLED" textlink="">
      <xdr:nvSpPr>
        <xdr:cNvPr id="94455" name="DalekLED419">
          <a:extLst>
            <a:ext uri="{FF2B5EF4-FFF2-40B4-BE49-F238E27FC236}">
              <a16:creationId xmlns:a16="http://schemas.microsoft.com/office/drawing/2014/main" id="{13D1F8D2-2A44-AB0D-718F-7DD3EB3ED04F}"/>
            </a:ext>
          </a:extLst>
        </xdr:cNvPr>
        <xdr:cNvSpPr/>
      </xdr:nvSpPr>
      <xdr:spPr>
        <a:xfrm>
          <a:off x="7175500" y="1016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10</xdr:col>
      <xdr:colOff>317500</xdr:colOff>
      <xdr:row>7</xdr:row>
      <xdr:rowOff>3175</xdr:rowOff>
    </xdr:from>
    <xdr:to>
      <xdr:col>10</xdr:col>
      <xdr:colOff>508000</xdr:colOff>
      <xdr:row>8</xdr:row>
      <xdr:rowOff>12700</xdr:rowOff>
    </xdr:to>
    <xdr:sp macro="SetLED" textlink="">
      <xdr:nvSpPr>
        <xdr:cNvPr id="94456" name="DalekLED519">
          <a:extLst>
            <a:ext uri="{FF2B5EF4-FFF2-40B4-BE49-F238E27FC236}">
              <a16:creationId xmlns:a16="http://schemas.microsoft.com/office/drawing/2014/main" id="{E63B30C4-42EE-E9FC-9D66-ED75AC49A73A}"/>
            </a:ext>
          </a:extLst>
        </xdr:cNvPr>
        <xdr:cNvSpPr/>
      </xdr:nvSpPr>
      <xdr:spPr>
        <a:xfrm>
          <a:off x="7175500" y="1270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10</xdr:col>
      <xdr:colOff>609600</xdr:colOff>
      <xdr:row>1</xdr:row>
      <xdr:rowOff>41275</xdr:rowOff>
    </xdr:from>
    <xdr:to>
      <xdr:col>11</xdr:col>
      <xdr:colOff>304800</xdr:colOff>
      <xdr:row>8</xdr:row>
      <xdr:rowOff>44450</xdr:rowOff>
    </xdr:to>
    <xdr:sp macro="SetHorDir" textlink="">
      <xdr:nvSpPr>
        <xdr:cNvPr id="94457" name="DalekCol20">
          <a:extLst>
            <a:ext uri="{FF2B5EF4-FFF2-40B4-BE49-F238E27FC236}">
              <a16:creationId xmlns:a16="http://schemas.microsoft.com/office/drawing/2014/main" id="{FAAC2CDD-181C-32CA-98AB-7AEB1DC9F0D9}"/>
            </a:ext>
          </a:extLst>
        </xdr:cNvPr>
        <xdr:cNvSpPr/>
      </xdr:nvSpPr>
      <xdr:spPr>
        <a:xfrm>
          <a:off x="7467600" y="222250"/>
          <a:ext cx="381000" cy="1270000"/>
        </a:xfrm>
        <a:prstGeom prst="rect">
          <a:avLst/>
        </a:prstGeom>
        <a:solidFill>
          <a:srgbClr val="C0C0C0"/>
        </a:soli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11</xdr:col>
      <xdr:colOff>254000</xdr:colOff>
      <xdr:row>6</xdr:row>
      <xdr:rowOff>57150</xdr:rowOff>
    </xdr:from>
    <xdr:to>
      <xdr:col>11</xdr:col>
      <xdr:colOff>254000</xdr:colOff>
      <xdr:row>8</xdr:row>
      <xdr:rowOff>76200</xdr:rowOff>
    </xdr:to>
    <xdr:cxnSp macro="SetHorDir">
      <xdr:nvCxnSpPr>
        <xdr:cNvPr id="94458" name="DalekColDir20">
          <a:extLst>
            <a:ext uri="{FF2B5EF4-FFF2-40B4-BE49-F238E27FC236}">
              <a16:creationId xmlns:a16="http://schemas.microsoft.com/office/drawing/2014/main" id="{0A9CDAD3-A53A-478A-4430-0A0EF1646495}"/>
            </a:ext>
          </a:extLst>
        </xdr:cNvPr>
        <xdr:cNvCxnSpPr/>
      </xdr:nvCxnSpPr>
      <xdr:spPr>
        <a:xfrm flipV="1">
          <a:off x="7797800" y="1143000"/>
          <a:ext cx="0" cy="381000"/>
        </a:xfrm>
        <a:prstGeom prst="line">
          <a:avLst/>
        </a:prstGeom>
        <a:noFill/>
        <a:ln w="9525" cap="flat" cmpd="sng" algn="ctr">
          <a:noFill/>
          <a:prstDash val="solid"/>
          <a:tailEnd type="triangle" w="med" len="med"/>
        </a:ln>
        <a:effectLst/>
        <a:extLst>
          <a:ext uri="{91240B29-F687-4F45-9708-019B960494DF}">
            <a14:hiddenLine xmlns:a14="http://schemas.microsoft.com/office/drawing/2010/main" w="9525" cap="flat" cmpd="sng" algn="ctr">
              <a:solidFill>
                <a:schemeClr val="accent1">
                  <a:shade val="95000"/>
                  <a:satMod val="105000"/>
                </a:schemeClr>
              </a:solidFill>
              <a:prstDash val="solid"/>
              <a:tailEnd type="triangle" w="med" len="med"/>
            </a14:hiddenLine>
          </a:ext>
        </a:extLst>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12700</xdr:colOff>
      <xdr:row>1</xdr:row>
      <xdr:rowOff>73025</xdr:rowOff>
    </xdr:from>
    <xdr:to>
      <xdr:col>11</xdr:col>
      <xdr:colOff>203200</xdr:colOff>
      <xdr:row>2</xdr:row>
      <xdr:rowOff>82550</xdr:rowOff>
    </xdr:to>
    <xdr:sp macro="SetLED" textlink="">
      <xdr:nvSpPr>
        <xdr:cNvPr id="94459" name="DalekLED120">
          <a:extLst>
            <a:ext uri="{FF2B5EF4-FFF2-40B4-BE49-F238E27FC236}">
              <a16:creationId xmlns:a16="http://schemas.microsoft.com/office/drawing/2014/main" id="{4AD54820-6354-9A81-4696-04771F31EE8C}"/>
            </a:ext>
          </a:extLst>
        </xdr:cNvPr>
        <xdr:cNvSpPr/>
      </xdr:nvSpPr>
      <xdr:spPr>
        <a:xfrm>
          <a:off x="7556500" y="254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11</xdr:col>
      <xdr:colOff>12700</xdr:colOff>
      <xdr:row>2</xdr:row>
      <xdr:rowOff>146050</xdr:rowOff>
    </xdr:from>
    <xdr:to>
      <xdr:col>11</xdr:col>
      <xdr:colOff>203200</xdr:colOff>
      <xdr:row>3</xdr:row>
      <xdr:rowOff>155575</xdr:rowOff>
    </xdr:to>
    <xdr:sp macro="SetLED" textlink="">
      <xdr:nvSpPr>
        <xdr:cNvPr id="94460" name="DalekLED220">
          <a:extLst>
            <a:ext uri="{FF2B5EF4-FFF2-40B4-BE49-F238E27FC236}">
              <a16:creationId xmlns:a16="http://schemas.microsoft.com/office/drawing/2014/main" id="{D4FDD1A5-065D-A881-3300-50C5DF975FE7}"/>
            </a:ext>
          </a:extLst>
        </xdr:cNvPr>
        <xdr:cNvSpPr/>
      </xdr:nvSpPr>
      <xdr:spPr>
        <a:xfrm>
          <a:off x="7556500" y="508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11</xdr:col>
      <xdr:colOff>12700</xdr:colOff>
      <xdr:row>4</xdr:row>
      <xdr:rowOff>38100</xdr:rowOff>
    </xdr:from>
    <xdr:to>
      <xdr:col>11</xdr:col>
      <xdr:colOff>203200</xdr:colOff>
      <xdr:row>5</xdr:row>
      <xdr:rowOff>47625</xdr:rowOff>
    </xdr:to>
    <xdr:sp macro="SetLED" textlink="">
      <xdr:nvSpPr>
        <xdr:cNvPr id="94461" name="DalekLED320">
          <a:extLst>
            <a:ext uri="{FF2B5EF4-FFF2-40B4-BE49-F238E27FC236}">
              <a16:creationId xmlns:a16="http://schemas.microsoft.com/office/drawing/2014/main" id="{3E10D182-F341-F169-BCD8-EA8EA3D20472}"/>
            </a:ext>
          </a:extLst>
        </xdr:cNvPr>
        <xdr:cNvSpPr/>
      </xdr:nvSpPr>
      <xdr:spPr>
        <a:xfrm>
          <a:off x="7556500" y="762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11</xdr:col>
      <xdr:colOff>12700</xdr:colOff>
      <xdr:row>5</xdr:row>
      <xdr:rowOff>111125</xdr:rowOff>
    </xdr:from>
    <xdr:to>
      <xdr:col>11</xdr:col>
      <xdr:colOff>203200</xdr:colOff>
      <xdr:row>6</xdr:row>
      <xdr:rowOff>120650</xdr:rowOff>
    </xdr:to>
    <xdr:sp macro="SetLED" textlink="">
      <xdr:nvSpPr>
        <xdr:cNvPr id="94462" name="DalekLED420">
          <a:extLst>
            <a:ext uri="{FF2B5EF4-FFF2-40B4-BE49-F238E27FC236}">
              <a16:creationId xmlns:a16="http://schemas.microsoft.com/office/drawing/2014/main" id="{1DC3DDB5-654C-838D-5122-AE87B6E7B82F}"/>
            </a:ext>
          </a:extLst>
        </xdr:cNvPr>
        <xdr:cNvSpPr/>
      </xdr:nvSpPr>
      <xdr:spPr>
        <a:xfrm>
          <a:off x="7556500" y="1016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11</xdr:col>
      <xdr:colOff>12700</xdr:colOff>
      <xdr:row>7</xdr:row>
      <xdr:rowOff>3175</xdr:rowOff>
    </xdr:from>
    <xdr:to>
      <xdr:col>11</xdr:col>
      <xdr:colOff>203200</xdr:colOff>
      <xdr:row>8</xdr:row>
      <xdr:rowOff>12700</xdr:rowOff>
    </xdr:to>
    <xdr:sp macro="SetLED" textlink="">
      <xdr:nvSpPr>
        <xdr:cNvPr id="94463" name="DalekLED520">
          <a:extLst>
            <a:ext uri="{FF2B5EF4-FFF2-40B4-BE49-F238E27FC236}">
              <a16:creationId xmlns:a16="http://schemas.microsoft.com/office/drawing/2014/main" id="{536AF26D-20B8-BF00-91E6-8226E7C2993D}"/>
            </a:ext>
          </a:extLst>
        </xdr:cNvPr>
        <xdr:cNvSpPr/>
      </xdr:nvSpPr>
      <xdr:spPr>
        <a:xfrm>
          <a:off x="7556500" y="1270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11</xdr:col>
      <xdr:colOff>304800</xdr:colOff>
      <xdr:row>1</xdr:row>
      <xdr:rowOff>41275</xdr:rowOff>
    </xdr:from>
    <xdr:to>
      <xdr:col>12</xdr:col>
      <xdr:colOff>0</xdr:colOff>
      <xdr:row>8</xdr:row>
      <xdr:rowOff>44450</xdr:rowOff>
    </xdr:to>
    <xdr:sp macro="SetHorDir" textlink="">
      <xdr:nvSpPr>
        <xdr:cNvPr id="94464" name="DalekCol21">
          <a:extLst>
            <a:ext uri="{FF2B5EF4-FFF2-40B4-BE49-F238E27FC236}">
              <a16:creationId xmlns:a16="http://schemas.microsoft.com/office/drawing/2014/main" id="{5C368609-D990-91A7-8299-C71D6039BB56}"/>
            </a:ext>
          </a:extLst>
        </xdr:cNvPr>
        <xdr:cNvSpPr/>
      </xdr:nvSpPr>
      <xdr:spPr>
        <a:xfrm>
          <a:off x="7848600" y="222250"/>
          <a:ext cx="381000" cy="1270000"/>
        </a:xfrm>
        <a:prstGeom prst="rect">
          <a:avLst/>
        </a:prstGeom>
        <a:solidFill>
          <a:srgbClr val="969696"/>
        </a:soli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11</xdr:col>
      <xdr:colOff>635000</xdr:colOff>
      <xdr:row>6</xdr:row>
      <xdr:rowOff>57150</xdr:rowOff>
    </xdr:from>
    <xdr:to>
      <xdr:col>11</xdr:col>
      <xdr:colOff>635000</xdr:colOff>
      <xdr:row>8</xdr:row>
      <xdr:rowOff>76200</xdr:rowOff>
    </xdr:to>
    <xdr:cxnSp macro="SetHorDir">
      <xdr:nvCxnSpPr>
        <xdr:cNvPr id="94465" name="DalekColDir21">
          <a:extLst>
            <a:ext uri="{FF2B5EF4-FFF2-40B4-BE49-F238E27FC236}">
              <a16:creationId xmlns:a16="http://schemas.microsoft.com/office/drawing/2014/main" id="{867BF686-4498-17C3-8FCF-CAC632C6F1B6}"/>
            </a:ext>
          </a:extLst>
        </xdr:cNvPr>
        <xdr:cNvCxnSpPr/>
      </xdr:nvCxnSpPr>
      <xdr:spPr>
        <a:xfrm flipV="1">
          <a:off x="8178800" y="1143000"/>
          <a:ext cx="0" cy="381000"/>
        </a:xfrm>
        <a:prstGeom prst="line">
          <a:avLst/>
        </a:prstGeom>
        <a:noFill/>
        <a:ln w="9525" cap="flat" cmpd="sng" algn="ctr">
          <a:noFill/>
          <a:prstDash val="solid"/>
          <a:tailEnd type="triangle" w="med" len="med"/>
        </a:ln>
        <a:effectLst/>
        <a:extLst>
          <a:ext uri="{91240B29-F687-4F45-9708-019B960494DF}">
            <a14:hiddenLine xmlns:a14="http://schemas.microsoft.com/office/drawing/2010/main" w="9525" cap="flat" cmpd="sng" algn="ctr">
              <a:solidFill>
                <a:schemeClr val="accent1">
                  <a:shade val="95000"/>
                  <a:satMod val="105000"/>
                </a:schemeClr>
              </a:solidFill>
              <a:prstDash val="solid"/>
              <a:tailEnd type="triangle" w="med" len="med"/>
            </a14:hiddenLine>
          </a:ext>
        </a:extLst>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393700</xdr:colOff>
      <xdr:row>1</xdr:row>
      <xdr:rowOff>73025</xdr:rowOff>
    </xdr:from>
    <xdr:to>
      <xdr:col>11</xdr:col>
      <xdr:colOff>584200</xdr:colOff>
      <xdr:row>2</xdr:row>
      <xdr:rowOff>82550</xdr:rowOff>
    </xdr:to>
    <xdr:sp macro="SetLED" textlink="">
      <xdr:nvSpPr>
        <xdr:cNvPr id="94466" name="DalekLED121">
          <a:extLst>
            <a:ext uri="{FF2B5EF4-FFF2-40B4-BE49-F238E27FC236}">
              <a16:creationId xmlns:a16="http://schemas.microsoft.com/office/drawing/2014/main" id="{8E9D9D8B-EACE-1C3B-2D8D-7C4DADEFC432}"/>
            </a:ext>
          </a:extLst>
        </xdr:cNvPr>
        <xdr:cNvSpPr/>
      </xdr:nvSpPr>
      <xdr:spPr>
        <a:xfrm>
          <a:off x="7937500" y="254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11</xdr:col>
      <xdr:colOff>393700</xdr:colOff>
      <xdr:row>2</xdr:row>
      <xdr:rowOff>146050</xdr:rowOff>
    </xdr:from>
    <xdr:to>
      <xdr:col>11</xdr:col>
      <xdr:colOff>584200</xdr:colOff>
      <xdr:row>3</xdr:row>
      <xdr:rowOff>155575</xdr:rowOff>
    </xdr:to>
    <xdr:sp macro="SetLED" textlink="">
      <xdr:nvSpPr>
        <xdr:cNvPr id="94467" name="DalekLED221">
          <a:extLst>
            <a:ext uri="{FF2B5EF4-FFF2-40B4-BE49-F238E27FC236}">
              <a16:creationId xmlns:a16="http://schemas.microsoft.com/office/drawing/2014/main" id="{D7F48CE8-3B3B-B2D7-2620-9D29ED8435EB}"/>
            </a:ext>
          </a:extLst>
        </xdr:cNvPr>
        <xdr:cNvSpPr/>
      </xdr:nvSpPr>
      <xdr:spPr>
        <a:xfrm>
          <a:off x="7937500" y="508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11</xdr:col>
      <xdr:colOff>393700</xdr:colOff>
      <xdr:row>4</xdr:row>
      <xdr:rowOff>38100</xdr:rowOff>
    </xdr:from>
    <xdr:to>
      <xdr:col>11</xdr:col>
      <xdr:colOff>584200</xdr:colOff>
      <xdr:row>5</xdr:row>
      <xdr:rowOff>47625</xdr:rowOff>
    </xdr:to>
    <xdr:sp macro="SetLED" textlink="">
      <xdr:nvSpPr>
        <xdr:cNvPr id="94468" name="DalekLED321">
          <a:extLst>
            <a:ext uri="{FF2B5EF4-FFF2-40B4-BE49-F238E27FC236}">
              <a16:creationId xmlns:a16="http://schemas.microsoft.com/office/drawing/2014/main" id="{CA1AF791-BA0B-54D7-BAC5-27D75494321D}"/>
            </a:ext>
          </a:extLst>
        </xdr:cNvPr>
        <xdr:cNvSpPr/>
      </xdr:nvSpPr>
      <xdr:spPr>
        <a:xfrm>
          <a:off x="7937500" y="762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11</xdr:col>
      <xdr:colOff>393700</xdr:colOff>
      <xdr:row>5</xdr:row>
      <xdr:rowOff>111125</xdr:rowOff>
    </xdr:from>
    <xdr:to>
      <xdr:col>11</xdr:col>
      <xdr:colOff>584200</xdr:colOff>
      <xdr:row>6</xdr:row>
      <xdr:rowOff>120650</xdr:rowOff>
    </xdr:to>
    <xdr:sp macro="SetLED" textlink="">
      <xdr:nvSpPr>
        <xdr:cNvPr id="94469" name="DalekLED421">
          <a:extLst>
            <a:ext uri="{FF2B5EF4-FFF2-40B4-BE49-F238E27FC236}">
              <a16:creationId xmlns:a16="http://schemas.microsoft.com/office/drawing/2014/main" id="{B3F012C5-AAB8-3078-2256-723BD5B7397A}"/>
            </a:ext>
          </a:extLst>
        </xdr:cNvPr>
        <xdr:cNvSpPr/>
      </xdr:nvSpPr>
      <xdr:spPr>
        <a:xfrm>
          <a:off x="7937500" y="1016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11</xdr:col>
      <xdr:colOff>393700</xdr:colOff>
      <xdr:row>7</xdr:row>
      <xdr:rowOff>3175</xdr:rowOff>
    </xdr:from>
    <xdr:to>
      <xdr:col>11</xdr:col>
      <xdr:colOff>584200</xdr:colOff>
      <xdr:row>8</xdr:row>
      <xdr:rowOff>12700</xdr:rowOff>
    </xdr:to>
    <xdr:sp macro="SetLED" textlink="">
      <xdr:nvSpPr>
        <xdr:cNvPr id="94470" name="DalekLED521">
          <a:extLst>
            <a:ext uri="{FF2B5EF4-FFF2-40B4-BE49-F238E27FC236}">
              <a16:creationId xmlns:a16="http://schemas.microsoft.com/office/drawing/2014/main" id="{92C62063-7140-12B3-4C25-515781E2184C}"/>
            </a:ext>
          </a:extLst>
        </xdr:cNvPr>
        <xdr:cNvSpPr/>
      </xdr:nvSpPr>
      <xdr:spPr>
        <a:xfrm>
          <a:off x="7937500" y="1270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12</xdr:col>
      <xdr:colOff>0</xdr:colOff>
      <xdr:row>1</xdr:row>
      <xdr:rowOff>41275</xdr:rowOff>
    </xdr:from>
    <xdr:to>
      <xdr:col>12</xdr:col>
      <xdr:colOff>381000</xdr:colOff>
      <xdr:row>8</xdr:row>
      <xdr:rowOff>44450</xdr:rowOff>
    </xdr:to>
    <xdr:sp macro="SetHorDir" textlink="">
      <xdr:nvSpPr>
        <xdr:cNvPr id="94471" name="DalekCol22">
          <a:extLst>
            <a:ext uri="{FF2B5EF4-FFF2-40B4-BE49-F238E27FC236}">
              <a16:creationId xmlns:a16="http://schemas.microsoft.com/office/drawing/2014/main" id="{A55344F5-6073-C93B-EA39-C30862B40A5F}"/>
            </a:ext>
          </a:extLst>
        </xdr:cNvPr>
        <xdr:cNvSpPr/>
      </xdr:nvSpPr>
      <xdr:spPr>
        <a:xfrm>
          <a:off x="8229600" y="222250"/>
          <a:ext cx="381000" cy="1270000"/>
        </a:xfrm>
        <a:prstGeom prst="rect">
          <a:avLst/>
        </a:prstGeom>
        <a:solidFill>
          <a:srgbClr val="C0C0C0"/>
        </a:soli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12</xdr:col>
      <xdr:colOff>330200</xdr:colOff>
      <xdr:row>6</xdr:row>
      <xdr:rowOff>57150</xdr:rowOff>
    </xdr:from>
    <xdr:to>
      <xdr:col>12</xdr:col>
      <xdr:colOff>330200</xdr:colOff>
      <xdr:row>8</xdr:row>
      <xdr:rowOff>76200</xdr:rowOff>
    </xdr:to>
    <xdr:cxnSp macro="SetHorDir">
      <xdr:nvCxnSpPr>
        <xdr:cNvPr id="94472" name="DalekColDir22">
          <a:extLst>
            <a:ext uri="{FF2B5EF4-FFF2-40B4-BE49-F238E27FC236}">
              <a16:creationId xmlns:a16="http://schemas.microsoft.com/office/drawing/2014/main" id="{F8C44545-9B2B-BAA1-8798-EE14F11AD625}"/>
            </a:ext>
          </a:extLst>
        </xdr:cNvPr>
        <xdr:cNvCxnSpPr/>
      </xdr:nvCxnSpPr>
      <xdr:spPr>
        <a:xfrm flipV="1">
          <a:off x="8559800" y="1143000"/>
          <a:ext cx="0" cy="381000"/>
        </a:xfrm>
        <a:prstGeom prst="line">
          <a:avLst/>
        </a:prstGeom>
        <a:noFill/>
        <a:ln w="9525" cap="flat" cmpd="sng" algn="ctr">
          <a:noFill/>
          <a:prstDash val="solid"/>
          <a:tailEnd type="triangle" w="med" len="med"/>
        </a:ln>
        <a:effectLst/>
        <a:extLst>
          <a:ext uri="{91240B29-F687-4F45-9708-019B960494DF}">
            <a14:hiddenLine xmlns:a14="http://schemas.microsoft.com/office/drawing/2010/main" w="9525" cap="flat" cmpd="sng" algn="ctr">
              <a:solidFill>
                <a:schemeClr val="accent1">
                  <a:shade val="95000"/>
                  <a:satMod val="105000"/>
                </a:schemeClr>
              </a:solidFill>
              <a:prstDash val="solid"/>
              <a:tailEnd type="triangle" w="med" len="med"/>
            </a14:hiddenLine>
          </a:ext>
        </a:extLst>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88900</xdr:colOff>
      <xdr:row>1</xdr:row>
      <xdr:rowOff>73025</xdr:rowOff>
    </xdr:from>
    <xdr:to>
      <xdr:col>12</xdr:col>
      <xdr:colOff>279400</xdr:colOff>
      <xdr:row>2</xdr:row>
      <xdr:rowOff>82550</xdr:rowOff>
    </xdr:to>
    <xdr:sp macro="SetLED" textlink="">
      <xdr:nvSpPr>
        <xdr:cNvPr id="94473" name="DalekLED122">
          <a:extLst>
            <a:ext uri="{FF2B5EF4-FFF2-40B4-BE49-F238E27FC236}">
              <a16:creationId xmlns:a16="http://schemas.microsoft.com/office/drawing/2014/main" id="{AED788E6-86EB-9387-BB33-29648351C69B}"/>
            </a:ext>
          </a:extLst>
        </xdr:cNvPr>
        <xdr:cNvSpPr/>
      </xdr:nvSpPr>
      <xdr:spPr>
        <a:xfrm>
          <a:off x="8318500" y="254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12</xdr:col>
      <xdr:colOff>88900</xdr:colOff>
      <xdr:row>2</xdr:row>
      <xdr:rowOff>146050</xdr:rowOff>
    </xdr:from>
    <xdr:to>
      <xdr:col>12</xdr:col>
      <xdr:colOff>279400</xdr:colOff>
      <xdr:row>3</xdr:row>
      <xdr:rowOff>155575</xdr:rowOff>
    </xdr:to>
    <xdr:sp macro="SetLED" textlink="">
      <xdr:nvSpPr>
        <xdr:cNvPr id="94474" name="DalekLED222">
          <a:extLst>
            <a:ext uri="{FF2B5EF4-FFF2-40B4-BE49-F238E27FC236}">
              <a16:creationId xmlns:a16="http://schemas.microsoft.com/office/drawing/2014/main" id="{96AA933F-F099-D7AD-2496-DD1D157CEAB8}"/>
            </a:ext>
          </a:extLst>
        </xdr:cNvPr>
        <xdr:cNvSpPr/>
      </xdr:nvSpPr>
      <xdr:spPr>
        <a:xfrm>
          <a:off x="8318500" y="508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12</xdr:col>
      <xdr:colOff>88900</xdr:colOff>
      <xdr:row>4</xdr:row>
      <xdr:rowOff>38100</xdr:rowOff>
    </xdr:from>
    <xdr:to>
      <xdr:col>12</xdr:col>
      <xdr:colOff>279400</xdr:colOff>
      <xdr:row>5</xdr:row>
      <xdr:rowOff>47625</xdr:rowOff>
    </xdr:to>
    <xdr:sp macro="SetLED" textlink="">
      <xdr:nvSpPr>
        <xdr:cNvPr id="94475" name="DalekLED322">
          <a:extLst>
            <a:ext uri="{FF2B5EF4-FFF2-40B4-BE49-F238E27FC236}">
              <a16:creationId xmlns:a16="http://schemas.microsoft.com/office/drawing/2014/main" id="{B01BD3C2-1721-17BF-D582-6A0B644A5771}"/>
            </a:ext>
          </a:extLst>
        </xdr:cNvPr>
        <xdr:cNvSpPr/>
      </xdr:nvSpPr>
      <xdr:spPr>
        <a:xfrm>
          <a:off x="8318500" y="762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12</xdr:col>
      <xdr:colOff>88900</xdr:colOff>
      <xdr:row>5</xdr:row>
      <xdr:rowOff>111125</xdr:rowOff>
    </xdr:from>
    <xdr:to>
      <xdr:col>12</xdr:col>
      <xdr:colOff>279400</xdr:colOff>
      <xdr:row>6</xdr:row>
      <xdr:rowOff>120650</xdr:rowOff>
    </xdr:to>
    <xdr:sp macro="SetLED" textlink="">
      <xdr:nvSpPr>
        <xdr:cNvPr id="94476" name="DalekLED422">
          <a:extLst>
            <a:ext uri="{FF2B5EF4-FFF2-40B4-BE49-F238E27FC236}">
              <a16:creationId xmlns:a16="http://schemas.microsoft.com/office/drawing/2014/main" id="{51A8A65E-9B0E-6445-9A13-D6C2F4D310A9}"/>
            </a:ext>
          </a:extLst>
        </xdr:cNvPr>
        <xdr:cNvSpPr/>
      </xdr:nvSpPr>
      <xdr:spPr>
        <a:xfrm>
          <a:off x="8318500" y="1016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12</xdr:col>
      <xdr:colOff>88900</xdr:colOff>
      <xdr:row>7</xdr:row>
      <xdr:rowOff>3175</xdr:rowOff>
    </xdr:from>
    <xdr:to>
      <xdr:col>12</xdr:col>
      <xdr:colOff>279400</xdr:colOff>
      <xdr:row>8</xdr:row>
      <xdr:rowOff>12700</xdr:rowOff>
    </xdr:to>
    <xdr:sp macro="SetLED" textlink="">
      <xdr:nvSpPr>
        <xdr:cNvPr id="94477" name="DalekLED522">
          <a:extLst>
            <a:ext uri="{FF2B5EF4-FFF2-40B4-BE49-F238E27FC236}">
              <a16:creationId xmlns:a16="http://schemas.microsoft.com/office/drawing/2014/main" id="{F09A1E11-384D-FE31-301A-F647F081341B}"/>
            </a:ext>
          </a:extLst>
        </xdr:cNvPr>
        <xdr:cNvSpPr/>
      </xdr:nvSpPr>
      <xdr:spPr>
        <a:xfrm>
          <a:off x="8318500" y="1270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12</xdr:col>
      <xdr:colOff>381000</xdr:colOff>
      <xdr:row>1</xdr:row>
      <xdr:rowOff>41275</xdr:rowOff>
    </xdr:from>
    <xdr:to>
      <xdr:col>13</xdr:col>
      <xdr:colOff>76200</xdr:colOff>
      <xdr:row>8</xdr:row>
      <xdr:rowOff>44450</xdr:rowOff>
    </xdr:to>
    <xdr:sp macro="SetHorDir" textlink="">
      <xdr:nvSpPr>
        <xdr:cNvPr id="94478" name="DalekCol23">
          <a:extLst>
            <a:ext uri="{FF2B5EF4-FFF2-40B4-BE49-F238E27FC236}">
              <a16:creationId xmlns:a16="http://schemas.microsoft.com/office/drawing/2014/main" id="{E239BDB5-F8B6-9E33-5320-20DE0E306955}"/>
            </a:ext>
          </a:extLst>
        </xdr:cNvPr>
        <xdr:cNvSpPr/>
      </xdr:nvSpPr>
      <xdr:spPr>
        <a:xfrm>
          <a:off x="8610600" y="222250"/>
          <a:ext cx="381000" cy="1270000"/>
        </a:xfrm>
        <a:prstGeom prst="rect">
          <a:avLst/>
        </a:prstGeom>
        <a:solidFill>
          <a:srgbClr val="969696"/>
        </a:soli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13</xdr:col>
      <xdr:colOff>25400</xdr:colOff>
      <xdr:row>6</xdr:row>
      <xdr:rowOff>57150</xdr:rowOff>
    </xdr:from>
    <xdr:to>
      <xdr:col>13</xdr:col>
      <xdr:colOff>25400</xdr:colOff>
      <xdr:row>8</xdr:row>
      <xdr:rowOff>76200</xdr:rowOff>
    </xdr:to>
    <xdr:cxnSp macro="SetHorDir">
      <xdr:nvCxnSpPr>
        <xdr:cNvPr id="94479" name="DalekColDir23">
          <a:extLst>
            <a:ext uri="{FF2B5EF4-FFF2-40B4-BE49-F238E27FC236}">
              <a16:creationId xmlns:a16="http://schemas.microsoft.com/office/drawing/2014/main" id="{EF70927D-42A4-68FE-9586-D7792B2E4D05}"/>
            </a:ext>
          </a:extLst>
        </xdr:cNvPr>
        <xdr:cNvCxnSpPr/>
      </xdr:nvCxnSpPr>
      <xdr:spPr>
        <a:xfrm flipV="1">
          <a:off x="8940800" y="1143000"/>
          <a:ext cx="0" cy="381000"/>
        </a:xfrm>
        <a:prstGeom prst="line">
          <a:avLst/>
        </a:prstGeom>
        <a:noFill/>
        <a:ln w="9525" cap="flat" cmpd="sng" algn="ctr">
          <a:noFill/>
          <a:prstDash val="solid"/>
          <a:tailEnd type="triangle" w="med" len="med"/>
        </a:ln>
        <a:effectLst/>
        <a:extLst>
          <a:ext uri="{91240B29-F687-4F45-9708-019B960494DF}">
            <a14:hiddenLine xmlns:a14="http://schemas.microsoft.com/office/drawing/2010/main" w="9525" cap="flat" cmpd="sng" algn="ctr">
              <a:solidFill>
                <a:schemeClr val="accent1">
                  <a:shade val="95000"/>
                  <a:satMod val="105000"/>
                </a:schemeClr>
              </a:solidFill>
              <a:prstDash val="solid"/>
              <a:tailEnd type="triangle" w="med" len="med"/>
            </a14:hiddenLine>
          </a:ext>
        </a:extLst>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469900</xdr:colOff>
      <xdr:row>1</xdr:row>
      <xdr:rowOff>73025</xdr:rowOff>
    </xdr:from>
    <xdr:to>
      <xdr:col>12</xdr:col>
      <xdr:colOff>660400</xdr:colOff>
      <xdr:row>2</xdr:row>
      <xdr:rowOff>82550</xdr:rowOff>
    </xdr:to>
    <xdr:sp macro="SetLED" textlink="">
      <xdr:nvSpPr>
        <xdr:cNvPr id="94480" name="DalekLED123">
          <a:extLst>
            <a:ext uri="{FF2B5EF4-FFF2-40B4-BE49-F238E27FC236}">
              <a16:creationId xmlns:a16="http://schemas.microsoft.com/office/drawing/2014/main" id="{A5D80EDA-113C-808E-CFEF-F540E41F64F8}"/>
            </a:ext>
          </a:extLst>
        </xdr:cNvPr>
        <xdr:cNvSpPr/>
      </xdr:nvSpPr>
      <xdr:spPr>
        <a:xfrm>
          <a:off x="8699500" y="254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12</xdr:col>
      <xdr:colOff>469900</xdr:colOff>
      <xdr:row>2</xdr:row>
      <xdr:rowOff>146050</xdr:rowOff>
    </xdr:from>
    <xdr:to>
      <xdr:col>12</xdr:col>
      <xdr:colOff>660400</xdr:colOff>
      <xdr:row>3</xdr:row>
      <xdr:rowOff>155575</xdr:rowOff>
    </xdr:to>
    <xdr:sp macro="SetLED" textlink="">
      <xdr:nvSpPr>
        <xdr:cNvPr id="94481" name="DalekLED223">
          <a:extLst>
            <a:ext uri="{FF2B5EF4-FFF2-40B4-BE49-F238E27FC236}">
              <a16:creationId xmlns:a16="http://schemas.microsoft.com/office/drawing/2014/main" id="{9659C99C-F4DE-A295-DA58-D9BE8A480B8F}"/>
            </a:ext>
          </a:extLst>
        </xdr:cNvPr>
        <xdr:cNvSpPr/>
      </xdr:nvSpPr>
      <xdr:spPr>
        <a:xfrm>
          <a:off x="8699500" y="508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12</xdr:col>
      <xdr:colOff>469900</xdr:colOff>
      <xdr:row>4</xdr:row>
      <xdr:rowOff>38100</xdr:rowOff>
    </xdr:from>
    <xdr:to>
      <xdr:col>12</xdr:col>
      <xdr:colOff>660400</xdr:colOff>
      <xdr:row>5</xdr:row>
      <xdr:rowOff>47625</xdr:rowOff>
    </xdr:to>
    <xdr:sp macro="SetLED" textlink="">
      <xdr:nvSpPr>
        <xdr:cNvPr id="94482" name="DalekLED323">
          <a:extLst>
            <a:ext uri="{FF2B5EF4-FFF2-40B4-BE49-F238E27FC236}">
              <a16:creationId xmlns:a16="http://schemas.microsoft.com/office/drawing/2014/main" id="{E10298D1-19D1-B7B8-06E5-D05A13A9B822}"/>
            </a:ext>
          </a:extLst>
        </xdr:cNvPr>
        <xdr:cNvSpPr/>
      </xdr:nvSpPr>
      <xdr:spPr>
        <a:xfrm>
          <a:off x="8699500" y="762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12</xdr:col>
      <xdr:colOff>469900</xdr:colOff>
      <xdr:row>5</xdr:row>
      <xdr:rowOff>111125</xdr:rowOff>
    </xdr:from>
    <xdr:to>
      <xdr:col>12</xdr:col>
      <xdr:colOff>660400</xdr:colOff>
      <xdr:row>6</xdr:row>
      <xdr:rowOff>120650</xdr:rowOff>
    </xdr:to>
    <xdr:sp macro="SetLED" textlink="">
      <xdr:nvSpPr>
        <xdr:cNvPr id="94483" name="DalekLED423">
          <a:extLst>
            <a:ext uri="{FF2B5EF4-FFF2-40B4-BE49-F238E27FC236}">
              <a16:creationId xmlns:a16="http://schemas.microsoft.com/office/drawing/2014/main" id="{426CFD44-64D7-52D1-4082-F7D46448F975}"/>
            </a:ext>
          </a:extLst>
        </xdr:cNvPr>
        <xdr:cNvSpPr/>
      </xdr:nvSpPr>
      <xdr:spPr>
        <a:xfrm>
          <a:off x="8699500" y="1016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12</xdr:col>
      <xdr:colOff>469900</xdr:colOff>
      <xdr:row>7</xdr:row>
      <xdr:rowOff>3175</xdr:rowOff>
    </xdr:from>
    <xdr:to>
      <xdr:col>12</xdr:col>
      <xdr:colOff>660400</xdr:colOff>
      <xdr:row>8</xdr:row>
      <xdr:rowOff>12700</xdr:rowOff>
    </xdr:to>
    <xdr:sp macro="SetLED" textlink="">
      <xdr:nvSpPr>
        <xdr:cNvPr id="94484" name="DalekLED523">
          <a:extLst>
            <a:ext uri="{FF2B5EF4-FFF2-40B4-BE49-F238E27FC236}">
              <a16:creationId xmlns:a16="http://schemas.microsoft.com/office/drawing/2014/main" id="{F941C246-E14E-664B-E136-FC52339D2351}"/>
            </a:ext>
          </a:extLst>
        </xdr:cNvPr>
        <xdr:cNvSpPr/>
      </xdr:nvSpPr>
      <xdr:spPr>
        <a:xfrm>
          <a:off x="8699500" y="1270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13</xdr:col>
      <xdr:colOff>76200</xdr:colOff>
      <xdr:row>1</xdr:row>
      <xdr:rowOff>41275</xdr:rowOff>
    </xdr:from>
    <xdr:to>
      <xdr:col>13</xdr:col>
      <xdr:colOff>457200</xdr:colOff>
      <xdr:row>8</xdr:row>
      <xdr:rowOff>44450</xdr:rowOff>
    </xdr:to>
    <xdr:sp macro="SetHorDir" textlink="">
      <xdr:nvSpPr>
        <xdr:cNvPr id="94485" name="DalekCol24">
          <a:extLst>
            <a:ext uri="{FF2B5EF4-FFF2-40B4-BE49-F238E27FC236}">
              <a16:creationId xmlns:a16="http://schemas.microsoft.com/office/drawing/2014/main" id="{8E0E83CB-C3EF-CF03-3E0C-D8217AD7C0FE}"/>
            </a:ext>
          </a:extLst>
        </xdr:cNvPr>
        <xdr:cNvSpPr/>
      </xdr:nvSpPr>
      <xdr:spPr>
        <a:xfrm>
          <a:off x="8991600" y="222250"/>
          <a:ext cx="381000" cy="1270000"/>
        </a:xfrm>
        <a:prstGeom prst="rect">
          <a:avLst/>
        </a:prstGeom>
        <a:solidFill>
          <a:srgbClr val="C0C0C0"/>
        </a:soli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13</xdr:col>
      <xdr:colOff>406400</xdr:colOff>
      <xdr:row>6</xdr:row>
      <xdr:rowOff>57150</xdr:rowOff>
    </xdr:from>
    <xdr:to>
      <xdr:col>13</xdr:col>
      <xdr:colOff>406400</xdr:colOff>
      <xdr:row>8</xdr:row>
      <xdr:rowOff>76200</xdr:rowOff>
    </xdr:to>
    <xdr:cxnSp macro="SetHorDir">
      <xdr:nvCxnSpPr>
        <xdr:cNvPr id="94486" name="DalekColDir24">
          <a:extLst>
            <a:ext uri="{FF2B5EF4-FFF2-40B4-BE49-F238E27FC236}">
              <a16:creationId xmlns:a16="http://schemas.microsoft.com/office/drawing/2014/main" id="{DB24DEFC-32A6-5F0D-4B97-072290135D51}"/>
            </a:ext>
          </a:extLst>
        </xdr:cNvPr>
        <xdr:cNvCxnSpPr/>
      </xdr:nvCxnSpPr>
      <xdr:spPr>
        <a:xfrm flipV="1">
          <a:off x="9321800" y="1143000"/>
          <a:ext cx="0" cy="381000"/>
        </a:xfrm>
        <a:prstGeom prst="line">
          <a:avLst/>
        </a:prstGeom>
        <a:noFill/>
        <a:ln w="9525" cap="flat" cmpd="sng" algn="ctr">
          <a:noFill/>
          <a:prstDash val="solid"/>
          <a:tailEnd type="triangle" w="med" len="med"/>
        </a:ln>
        <a:effectLst/>
        <a:extLst>
          <a:ext uri="{91240B29-F687-4F45-9708-019B960494DF}">
            <a14:hiddenLine xmlns:a14="http://schemas.microsoft.com/office/drawing/2010/main" w="9525" cap="flat" cmpd="sng" algn="ctr">
              <a:solidFill>
                <a:schemeClr val="accent1">
                  <a:shade val="95000"/>
                  <a:satMod val="105000"/>
                </a:schemeClr>
              </a:solidFill>
              <a:prstDash val="solid"/>
              <a:tailEnd type="triangle" w="med" len="med"/>
            </a14:hiddenLine>
          </a:ext>
        </a:extLst>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165100</xdr:colOff>
      <xdr:row>1</xdr:row>
      <xdr:rowOff>73025</xdr:rowOff>
    </xdr:from>
    <xdr:to>
      <xdr:col>13</xdr:col>
      <xdr:colOff>355600</xdr:colOff>
      <xdr:row>2</xdr:row>
      <xdr:rowOff>82550</xdr:rowOff>
    </xdr:to>
    <xdr:sp macro="SetLED" textlink="">
      <xdr:nvSpPr>
        <xdr:cNvPr id="94487" name="DalekLED124">
          <a:extLst>
            <a:ext uri="{FF2B5EF4-FFF2-40B4-BE49-F238E27FC236}">
              <a16:creationId xmlns:a16="http://schemas.microsoft.com/office/drawing/2014/main" id="{040A3245-1E7E-3004-7D77-5EFE39F99A44}"/>
            </a:ext>
          </a:extLst>
        </xdr:cNvPr>
        <xdr:cNvSpPr/>
      </xdr:nvSpPr>
      <xdr:spPr>
        <a:xfrm>
          <a:off x="9080500" y="254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13</xdr:col>
      <xdr:colOff>165100</xdr:colOff>
      <xdr:row>2</xdr:row>
      <xdr:rowOff>146050</xdr:rowOff>
    </xdr:from>
    <xdr:to>
      <xdr:col>13</xdr:col>
      <xdr:colOff>355600</xdr:colOff>
      <xdr:row>3</xdr:row>
      <xdr:rowOff>155575</xdr:rowOff>
    </xdr:to>
    <xdr:sp macro="SetLED" textlink="">
      <xdr:nvSpPr>
        <xdr:cNvPr id="94488" name="DalekLED224">
          <a:extLst>
            <a:ext uri="{FF2B5EF4-FFF2-40B4-BE49-F238E27FC236}">
              <a16:creationId xmlns:a16="http://schemas.microsoft.com/office/drawing/2014/main" id="{12A4F201-DE69-9557-1664-7773B8B41A23}"/>
            </a:ext>
          </a:extLst>
        </xdr:cNvPr>
        <xdr:cNvSpPr/>
      </xdr:nvSpPr>
      <xdr:spPr>
        <a:xfrm>
          <a:off x="9080500" y="508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13</xdr:col>
      <xdr:colOff>165100</xdr:colOff>
      <xdr:row>4</xdr:row>
      <xdr:rowOff>38100</xdr:rowOff>
    </xdr:from>
    <xdr:to>
      <xdr:col>13</xdr:col>
      <xdr:colOff>355600</xdr:colOff>
      <xdr:row>5</xdr:row>
      <xdr:rowOff>47625</xdr:rowOff>
    </xdr:to>
    <xdr:sp macro="SetLED" textlink="">
      <xdr:nvSpPr>
        <xdr:cNvPr id="94489" name="DalekLED324">
          <a:extLst>
            <a:ext uri="{FF2B5EF4-FFF2-40B4-BE49-F238E27FC236}">
              <a16:creationId xmlns:a16="http://schemas.microsoft.com/office/drawing/2014/main" id="{1C0EBF93-DC0F-5970-5CD5-F09C80C1C869}"/>
            </a:ext>
          </a:extLst>
        </xdr:cNvPr>
        <xdr:cNvSpPr/>
      </xdr:nvSpPr>
      <xdr:spPr>
        <a:xfrm>
          <a:off x="9080500" y="762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13</xdr:col>
      <xdr:colOff>165100</xdr:colOff>
      <xdr:row>5</xdr:row>
      <xdr:rowOff>111125</xdr:rowOff>
    </xdr:from>
    <xdr:to>
      <xdr:col>13</xdr:col>
      <xdr:colOff>355600</xdr:colOff>
      <xdr:row>6</xdr:row>
      <xdr:rowOff>120650</xdr:rowOff>
    </xdr:to>
    <xdr:sp macro="SetLED" textlink="">
      <xdr:nvSpPr>
        <xdr:cNvPr id="94490" name="DalekLED424">
          <a:extLst>
            <a:ext uri="{FF2B5EF4-FFF2-40B4-BE49-F238E27FC236}">
              <a16:creationId xmlns:a16="http://schemas.microsoft.com/office/drawing/2014/main" id="{3D815FD1-2057-0D72-03E9-52E0E843F049}"/>
            </a:ext>
          </a:extLst>
        </xdr:cNvPr>
        <xdr:cNvSpPr/>
      </xdr:nvSpPr>
      <xdr:spPr>
        <a:xfrm>
          <a:off x="9080500" y="1016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13</xdr:col>
      <xdr:colOff>165100</xdr:colOff>
      <xdr:row>7</xdr:row>
      <xdr:rowOff>3175</xdr:rowOff>
    </xdr:from>
    <xdr:to>
      <xdr:col>13</xdr:col>
      <xdr:colOff>355600</xdr:colOff>
      <xdr:row>8</xdr:row>
      <xdr:rowOff>12700</xdr:rowOff>
    </xdr:to>
    <xdr:sp macro="SetLED" textlink="">
      <xdr:nvSpPr>
        <xdr:cNvPr id="94491" name="DalekLED524">
          <a:extLst>
            <a:ext uri="{FF2B5EF4-FFF2-40B4-BE49-F238E27FC236}">
              <a16:creationId xmlns:a16="http://schemas.microsoft.com/office/drawing/2014/main" id="{5A026AB1-E42F-E4F5-9B64-004810AEDFC4}"/>
            </a:ext>
          </a:extLst>
        </xdr:cNvPr>
        <xdr:cNvSpPr/>
      </xdr:nvSpPr>
      <xdr:spPr>
        <a:xfrm>
          <a:off x="9080500" y="1270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13</xdr:col>
      <xdr:colOff>457200</xdr:colOff>
      <xdr:row>1</xdr:row>
      <xdr:rowOff>41275</xdr:rowOff>
    </xdr:from>
    <xdr:to>
      <xdr:col>14</xdr:col>
      <xdr:colOff>152400</xdr:colOff>
      <xdr:row>8</xdr:row>
      <xdr:rowOff>44450</xdr:rowOff>
    </xdr:to>
    <xdr:sp macro="SetHorDir" textlink="">
      <xdr:nvSpPr>
        <xdr:cNvPr id="94492" name="DalekCol25">
          <a:extLst>
            <a:ext uri="{FF2B5EF4-FFF2-40B4-BE49-F238E27FC236}">
              <a16:creationId xmlns:a16="http://schemas.microsoft.com/office/drawing/2014/main" id="{71A1EEDE-A1D3-691D-0019-7980EECBB705}"/>
            </a:ext>
          </a:extLst>
        </xdr:cNvPr>
        <xdr:cNvSpPr/>
      </xdr:nvSpPr>
      <xdr:spPr>
        <a:xfrm>
          <a:off x="9372600" y="222250"/>
          <a:ext cx="381000" cy="1270000"/>
        </a:xfrm>
        <a:prstGeom prst="rect">
          <a:avLst/>
        </a:prstGeom>
        <a:solidFill>
          <a:srgbClr val="969696"/>
        </a:soli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14</xdr:col>
      <xdr:colOff>101600</xdr:colOff>
      <xdr:row>6</xdr:row>
      <xdr:rowOff>57150</xdr:rowOff>
    </xdr:from>
    <xdr:to>
      <xdr:col>14</xdr:col>
      <xdr:colOff>101600</xdr:colOff>
      <xdr:row>8</xdr:row>
      <xdr:rowOff>76200</xdr:rowOff>
    </xdr:to>
    <xdr:cxnSp macro="SetHorDir">
      <xdr:nvCxnSpPr>
        <xdr:cNvPr id="94493" name="DalekColDir25">
          <a:extLst>
            <a:ext uri="{FF2B5EF4-FFF2-40B4-BE49-F238E27FC236}">
              <a16:creationId xmlns:a16="http://schemas.microsoft.com/office/drawing/2014/main" id="{151FBF45-CCD5-228F-7FE4-6E2217ECE9E3}"/>
            </a:ext>
          </a:extLst>
        </xdr:cNvPr>
        <xdr:cNvCxnSpPr/>
      </xdr:nvCxnSpPr>
      <xdr:spPr>
        <a:xfrm flipV="1">
          <a:off x="9702800" y="1143000"/>
          <a:ext cx="0" cy="381000"/>
        </a:xfrm>
        <a:prstGeom prst="line">
          <a:avLst/>
        </a:prstGeom>
        <a:noFill/>
        <a:ln w="9525" cap="flat" cmpd="sng" algn="ctr">
          <a:noFill/>
          <a:prstDash val="solid"/>
          <a:tailEnd type="triangle" w="med" len="med"/>
        </a:ln>
        <a:effectLst/>
        <a:extLst>
          <a:ext uri="{91240B29-F687-4F45-9708-019B960494DF}">
            <a14:hiddenLine xmlns:a14="http://schemas.microsoft.com/office/drawing/2010/main" w="9525" cap="flat" cmpd="sng" algn="ctr">
              <a:solidFill>
                <a:schemeClr val="accent1">
                  <a:shade val="95000"/>
                  <a:satMod val="105000"/>
                </a:schemeClr>
              </a:solidFill>
              <a:prstDash val="solid"/>
              <a:tailEnd type="triangle" w="med" len="med"/>
            </a14:hiddenLine>
          </a:ext>
        </a:extLst>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546100</xdr:colOff>
      <xdr:row>1</xdr:row>
      <xdr:rowOff>73025</xdr:rowOff>
    </xdr:from>
    <xdr:to>
      <xdr:col>14</xdr:col>
      <xdr:colOff>50800</xdr:colOff>
      <xdr:row>2</xdr:row>
      <xdr:rowOff>82550</xdr:rowOff>
    </xdr:to>
    <xdr:sp macro="SetLED" textlink="">
      <xdr:nvSpPr>
        <xdr:cNvPr id="94494" name="DalekLED125">
          <a:extLst>
            <a:ext uri="{FF2B5EF4-FFF2-40B4-BE49-F238E27FC236}">
              <a16:creationId xmlns:a16="http://schemas.microsoft.com/office/drawing/2014/main" id="{BFE45498-56DD-3E21-A9BC-D106D9943928}"/>
            </a:ext>
          </a:extLst>
        </xdr:cNvPr>
        <xdr:cNvSpPr/>
      </xdr:nvSpPr>
      <xdr:spPr>
        <a:xfrm>
          <a:off x="9461500" y="254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13</xdr:col>
      <xdr:colOff>546100</xdr:colOff>
      <xdr:row>2</xdr:row>
      <xdr:rowOff>146050</xdr:rowOff>
    </xdr:from>
    <xdr:to>
      <xdr:col>14</xdr:col>
      <xdr:colOff>50800</xdr:colOff>
      <xdr:row>3</xdr:row>
      <xdr:rowOff>155575</xdr:rowOff>
    </xdr:to>
    <xdr:sp macro="SetLED" textlink="">
      <xdr:nvSpPr>
        <xdr:cNvPr id="94495" name="DalekLED225">
          <a:extLst>
            <a:ext uri="{FF2B5EF4-FFF2-40B4-BE49-F238E27FC236}">
              <a16:creationId xmlns:a16="http://schemas.microsoft.com/office/drawing/2014/main" id="{74D99232-19EF-D841-7664-36571ED7ECEB}"/>
            </a:ext>
          </a:extLst>
        </xdr:cNvPr>
        <xdr:cNvSpPr/>
      </xdr:nvSpPr>
      <xdr:spPr>
        <a:xfrm>
          <a:off x="9461500" y="508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13</xdr:col>
      <xdr:colOff>546100</xdr:colOff>
      <xdr:row>4</xdr:row>
      <xdr:rowOff>38100</xdr:rowOff>
    </xdr:from>
    <xdr:to>
      <xdr:col>14</xdr:col>
      <xdr:colOff>50800</xdr:colOff>
      <xdr:row>5</xdr:row>
      <xdr:rowOff>47625</xdr:rowOff>
    </xdr:to>
    <xdr:sp macro="SetLED" textlink="">
      <xdr:nvSpPr>
        <xdr:cNvPr id="94496" name="DalekLED325">
          <a:extLst>
            <a:ext uri="{FF2B5EF4-FFF2-40B4-BE49-F238E27FC236}">
              <a16:creationId xmlns:a16="http://schemas.microsoft.com/office/drawing/2014/main" id="{B883918C-5AC7-5AF8-3B5C-6886A41D760C}"/>
            </a:ext>
          </a:extLst>
        </xdr:cNvPr>
        <xdr:cNvSpPr/>
      </xdr:nvSpPr>
      <xdr:spPr>
        <a:xfrm>
          <a:off x="9461500" y="762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13</xdr:col>
      <xdr:colOff>546100</xdr:colOff>
      <xdr:row>5</xdr:row>
      <xdr:rowOff>111125</xdr:rowOff>
    </xdr:from>
    <xdr:to>
      <xdr:col>14</xdr:col>
      <xdr:colOff>50800</xdr:colOff>
      <xdr:row>6</xdr:row>
      <xdr:rowOff>120650</xdr:rowOff>
    </xdr:to>
    <xdr:sp macro="SetLED" textlink="">
      <xdr:nvSpPr>
        <xdr:cNvPr id="94497" name="DalekLED425">
          <a:extLst>
            <a:ext uri="{FF2B5EF4-FFF2-40B4-BE49-F238E27FC236}">
              <a16:creationId xmlns:a16="http://schemas.microsoft.com/office/drawing/2014/main" id="{CDFC8B6E-A481-0090-504E-6C04EF214245}"/>
            </a:ext>
          </a:extLst>
        </xdr:cNvPr>
        <xdr:cNvSpPr/>
      </xdr:nvSpPr>
      <xdr:spPr>
        <a:xfrm>
          <a:off x="9461500" y="1016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13</xdr:col>
      <xdr:colOff>546100</xdr:colOff>
      <xdr:row>7</xdr:row>
      <xdr:rowOff>3175</xdr:rowOff>
    </xdr:from>
    <xdr:to>
      <xdr:col>14</xdr:col>
      <xdr:colOff>50800</xdr:colOff>
      <xdr:row>8</xdr:row>
      <xdr:rowOff>12700</xdr:rowOff>
    </xdr:to>
    <xdr:sp macro="SetLED" textlink="">
      <xdr:nvSpPr>
        <xdr:cNvPr id="94498" name="DalekLED525">
          <a:extLst>
            <a:ext uri="{FF2B5EF4-FFF2-40B4-BE49-F238E27FC236}">
              <a16:creationId xmlns:a16="http://schemas.microsoft.com/office/drawing/2014/main" id="{22C9740E-341C-BC7B-B399-B9F91850DA93}"/>
            </a:ext>
          </a:extLst>
        </xdr:cNvPr>
        <xdr:cNvSpPr/>
      </xdr:nvSpPr>
      <xdr:spPr>
        <a:xfrm>
          <a:off x="9461500" y="1270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14</xdr:col>
      <xdr:colOff>203200</xdr:colOff>
      <xdr:row>1</xdr:row>
      <xdr:rowOff>60325</xdr:rowOff>
    </xdr:from>
    <xdr:to>
      <xdr:col>14</xdr:col>
      <xdr:colOff>558800</xdr:colOff>
      <xdr:row>2</xdr:row>
      <xdr:rowOff>107950</xdr:rowOff>
    </xdr:to>
    <xdr:sp macro="SetVerDir" textlink="">
      <xdr:nvSpPr>
        <xdr:cNvPr id="94499" name="DalekRow01">
          <a:extLst>
            <a:ext uri="{FF2B5EF4-FFF2-40B4-BE49-F238E27FC236}">
              <a16:creationId xmlns:a16="http://schemas.microsoft.com/office/drawing/2014/main" id="{4365E788-FE9E-36D9-D650-DBA858191922}"/>
            </a:ext>
          </a:extLst>
        </xdr:cNvPr>
        <xdr:cNvSpPr/>
      </xdr:nvSpPr>
      <xdr:spPr>
        <a:xfrm>
          <a:off x="9804400" y="241300"/>
          <a:ext cx="355600" cy="228600"/>
        </a:xfrm>
        <a:prstGeom prst="rect">
          <a:avLst/>
        </a:prstGeom>
        <a:solidFill>
          <a:srgbClr val="CACACA"/>
        </a:soli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14</xdr:col>
      <xdr:colOff>241300</xdr:colOff>
      <xdr:row>1</xdr:row>
      <xdr:rowOff>123825</xdr:rowOff>
    </xdr:from>
    <xdr:to>
      <xdr:col>14</xdr:col>
      <xdr:colOff>622300</xdr:colOff>
      <xdr:row>1</xdr:row>
      <xdr:rowOff>123825</xdr:rowOff>
    </xdr:to>
    <xdr:cxnSp macro="SetVerDir">
      <xdr:nvCxnSpPr>
        <xdr:cNvPr id="94500" name="DalekRowDir01">
          <a:extLst>
            <a:ext uri="{FF2B5EF4-FFF2-40B4-BE49-F238E27FC236}">
              <a16:creationId xmlns:a16="http://schemas.microsoft.com/office/drawing/2014/main" id="{57319A7A-E9D4-C4A9-FB7B-16EA53FCAA2D}"/>
            </a:ext>
          </a:extLst>
        </xdr:cNvPr>
        <xdr:cNvCxnSpPr/>
      </xdr:nvCxnSpPr>
      <xdr:spPr>
        <a:xfrm flipV="1">
          <a:off x="9842500" y="304800"/>
          <a:ext cx="381000" cy="0"/>
        </a:xfrm>
        <a:prstGeom prst="line">
          <a:avLst/>
        </a:prstGeom>
        <a:noFill/>
        <a:ln w="9525" cap="flat" cmpd="sng" algn="ctr">
          <a:noFill/>
          <a:prstDash val="solid"/>
          <a:tailEnd type="triangle" w="med" len="med"/>
        </a:ln>
        <a:effectLst/>
        <a:extLst>
          <a:ext uri="{91240B29-F687-4F45-9708-019B960494DF}">
            <a14:hiddenLine xmlns:a14="http://schemas.microsoft.com/office/drawing/2010/main" w="9525" cap="flat" cmpd="sng" algn="ctr">
              <a:solidFill>
                <a:schemeClr val="accent1">
                  <a:shade val="95000"/>
                  <a:satMod val="105000"/>
                </a:schemeClr>
              </a:solidFill>
              <a:prstDash val="solid"/>
              <a:tailEnd type="triangle" w="med" len="med"/>
            </a14:hiddenLine>
          </a:ext>
        </a:extLst>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203200</xdr:colOff>
      <xdr:row>2</xdr:row>
      <xdr:rowOff>133350</xdr:rowOff>
    </xdr:from>
    <xdr:to>
      <xdr:col>14</xdr:col>
      <xdr:colOff>558800</xdr:colOff>
      <xdr:row>4</xdr:row>
      <xdr:rowOff>0</xdr:rowOff>
    </xdr:to>
    <xdr:sp macro="SetVerDir" textlink="">
      <xdr:nvSpPr>
        <xdr:cNvPr id="94501" name="DalekRow02">
          <a:extLst>
            <a:ext uri="{FF2B5EF4-FFF2-40B4-BE49-F238E27FC236}">
              <a16:creationId xmlns:a16="http://schemas.microsoft.com/office/drawing/2014/main" id="{99796934-5A7B-3418-5084-F495C3A8FA57}"/>
            </a:ext>
          </a:extLst>
        </xdr:cNvPr>
        <xdr:cNvSpPr/>
      </xdr:nvSpPr>
      <xdr:spPr>
        <a:xfrm>
          <a:off x="9804400" y="495300"/>
          <a:ext cx="355600" cy="228600"/>
        </a:xfrm>
        <a:prstGeom prst="rect">
          <a:avLst/>
        </a:prstGeom>
        <a:solidFill>
          <a:srgbClr val="CACACA"/>
        </a:soli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14</xdr:col>
      <xdr:colOff>241300</xdr:colOff>
      <xdr:row>3</xdr:row>
      <xdr:rowOff>15875</xdr:rowOff>
    </xdr:from>
    <xdr:to>
      <xdr:col>14</xdr:col>
      <xdr:colOff>622300</xdr:colOff>
      <xdr:row>3</xdr:row>
      <xdr:rowOff>15875</xdr:rowOff>
    </xdr:to>
    <xdr:cxnSp macro="SetVerDir">
      <xdr:nvCxnSpPr>
        <xdr:cNvPr id="94502" name="DalekRowDir02">
          <a:extLst>
            <a:ext uri="{FF2B5EF4-FFF2-40B4-BE49-F238E27FC236}">
              <a16:creationId xmlns:a16="http://schemas.microsoft.com/office/drawing/2014/main" id="{EAC8115D-57D2-1075-F8FF-060368A6C6C8}"/>
            </a:ext>
          </a:extLst>
        </xdr:cNvPr>
        <xdr:cNvCxnSpPr/>
      </xdr:nvCxnSpPr>
      <xdr:spPr>
        <a:xfrm flipV="1">
          <a:off x="9842500" y="558800"/>
          <a:ext cx="381000" cy="0"/>
        </a:xfrm>
        <a:prstGeom prst="line">
          <a:avLst/>
        </a:prstGeom>
        <a:noFill/>
        <a:ln w="9525" cap="flat" cmpd="sng" algn="ctr">
          <a:noFill/>
          <a:prstDash val="solid"/>
          <a:tailEnd type="triangle" w="med" len="med"/>
        </a:ln>
        <a:effectLst/>
        <a:extLst>
          <a:ext uri="{91240B29-F687-4F45-9708-019B960494DF}">
            <a14:hiddenLine xmlns:a14="http://schemas.microsoft.com/office/drawing/2010/main" w="9525" cap="flat" cmpd="sng" algn="ctr">
              <a:solidFill>
                <a:schemeClr val="accent1">
                  <a:shade val="95000"/>
                  <a:satMod val="105000"/>
                </a:schemeClr>
              </a:solidFill>
              <a:prstDash val="solid"/>
              <a:tailEnd type="triangle" w="med" len="med"/>
            </a14:hiddenLine>
          </a:ext>
        </a:extLst>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203200</xdr:colOff>
      <xdr:row>4</xdr:row>
      <xdr:rowOff>25400</xdr:rowOff>
    </xdr:from>
    <xdr:to>
      <xdr:col>14</xdr:col>
      <xdr:colOff>558800</xdr:colOff>
      <xdr:row>5</xdr:row>
      <xdr:rowOff>73025</xdr:rowOff>
    </xdr:to>
    <xdr:sp macro="SetVerDir" textlink="">
      <xdr:nvSpPr>
        <xdr:cNvPr id="94503" name="DalekRow03">
          <a:extLst>
            <a:ext uri="{FF2B5EF4-FFF2-40B4-BE49-F238E27FC236}">
              <a16:creationId xmlns:a16="http://schemas.microsoft.com/office/drawing/2014/main" id="{88A1DE19-A026-CA01-4CE9-18003B53758E}"/>
            </a:ext>
          </a:extLst>
        </xdr:cNvPr>
        <xdr:cNvSpPr/>
      </xdr:nvSpPr>
      <xdr:spPr>
        <a:xfrm>
          <a:off x="9804400" y="749300"/>
          <a:ext cx="355600" cy="228600"/>
        </a:xfrm>
        <a:prstGeom prst="rect">
          <a:avLst/>
        </a:prstGeom>
        <a:solidFill>
          <a:srgbClr val="CACACA"/>
        </a:soli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14</xdr:col>
      <xdr:colOff>241300</xdr:colOff>
      <xdr:row>4</xdr:row>
      <xdr:rowOff>88900</xdr:rowOff>
    </xdr:from>
    <xdr:to>
      <xdr:col>14</xdr:col>
      <xdr:colOff>622300</xdr:colOff>
      <xdr:row>4</xdr:row>
      <xdr:rowOff>88900</xdr:rowOff>
    </xdr:to>
    <xdr:cxnSp macro="SetVerDir">
      <xdr:nvCxnSpPr>
        <xdr:cNvPr id="94504" name="DalekRowDir03">
          <a:extLst>
            <a:ext uri="{FF2B5EF4-FFF2-40B4-BE49-F238E27FC236}">
              <a16:creationId xmlns:a16="http://schemas.microsoft.com/office/drawing/2014/main" id="{36F7FD9B-9C3E-A0A2-6B8C-C287C129DC74}"/>
            </a:ext>
          </a:extLst>
        </xdr:cNvPr>
        <xdr:cNvCxnSpPr/>
      </xdr:nvCxnSpPr>
      <xdr:spPr>
        <a:xfrm flipV="1">
          <a:off x="9842500" y="812800"/>
          <a:ext cx="381000" cy="0"/>
        </a:xfrm>
        <a:prstGeom prst="line">
          <a:avLst/>
        </a:prstGeom>
        <a:noFill/>
        <a:ln w="9525" cap="flat" cmpd="sng" algn="ctr">
          <a:noFill/>
          <a:prstDash val="solid"/>
          <a:tailEnd type="triangle" w="med" len="med"/>
        </a:ln>
        <a:effectLst/>
        <a:extLst>
          <a:ext uri="{91240B29-F687-4F45-9708-019B960494DF}">
            <a14:hiddenLine xmlns:a14="http://schemas.microsoft.com/office/drawing/2010/main" w="9525" cap="flat" cmpd="sng" algn="ctr">
              <a:solidFill>
                <a:schemeClr val="accent1">
                  <a:shade val="95000"/>
                  <a:satMod val="105000"/>
                </a:schemeClr>
              </a:solidFill>
              <a:prstDash val="solid"/>
              <a:tailEnd type="triangle" w="med" len="med"/>
            </a14:hiddenLine>
          </a:ext>
        </a:extLst>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203200</xdr:colOff>
      <xdr:row>5</xdr:row>
      <xdr:rowOff>98425</xdr:rowOff>
    </xdr:from>
    <xdr:to>
      <xdr:col>14</xdr:col>
      <xdr:colOff>558800</xdr:colOff>
      <xdr:row>6</xdr:row>
      <xdr:rowOff>146050</xdr:rowOff>
    </xdr:to>
    <xdr:sp macro="SetVerDir" textlink="">
      <xdr:nvSpPr>
        <xdr:cNvPr id="94505" name="DalekRow04">
          <a:extLst>
            <a:ext uri="{FF2B5EF4-FFF2-40B4-BE49-F238E27FC236}">
              <a16:creationId xmlns:a16="http://schemas.microsoft.com/office/drawing/2014/main" id="{C8AF7997-BAD4-4553-DEF2-BBA364BC2399}"/>
            </a:ext>
          </a:extLst>
        </xdr:cNvPr>
        <xdr:cNvSpPr/>
      </xdr:nvSpPr>
      <xdr:spPr>
        <a:xfrm>
          <a:off x="9804400" y="1003300"/>
          <a:ext cx="355600" cy="228600"/>
        </a:xfrm>
        <a:prstGeom prst="rect">
          <a:avLst/>
        </a:prstGeom>
        <a:solidFill>
          <a:srgbClr val="CACACA"/>
        </a:soli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14</xdr:col>
      <xdr:colOff>241300</xdr:colOff>
      <xdr:row>5</xdr:row>
      <xdr:rowOff>161925</xdr:rowOff>
    </xdr:from>
    <xdr:to>
      <xdr:col>14</xdr:col>
      <xdr:colOff>622300</xdr:colOff>
      <xdr:row>5</xdr:row>
      <xdr:rowOff>161925</xdr:rowOff>
    </xdr:to>
    <xdr:cxnSp macro="SetVerDir">
      <xdr:nvCxnSpPr>
        <xdr:cNvPr id="94506" name="DalekRowDir04">
          <a:extLst>
            <a:ext uri="{FF2B5EF4-FFF2-40B4-BE49-F238E27FC236}">
              <a16:creationId xmlns:a16="http://schemas.microsoft.com/office/drawing/2014/main" id="{B75C648B-911B-5C7C-E6FF-C0F0D81B2DC6}"/>
            </a:ext>
          </a:extLst>
        </xdr:cNvPr>
        <xdr:cNvCxnSpPr/>
      </xdr:nvCxnSpPr>
      <xdr:spPr>
        <a:xfrm flipV="1">
          <a:off x="9842500" y="1066800"/>
          <a:ext cx="381000" cy="0"/>
        </a:xfrm>
        <a:prstGeom prst="line">
          <a:avLst/>
        </a:prstGeom>
        <a:noFill/>
        <a:ln w="9525" cap="flat" cmpd="sng" algn="ctr">
          <a:noFill/>
          <a:prstDash val="solid"/>
          <a:tailEnd type="triangle" w="med" len="med"/>
        </a:ln>
        <a:effectLst/>
        <a:extLst>
          <a:ext uri="{91240B29-F687-4F45-9708-019B960494DF}">
            <a14:hiddenLine xmlns:a14="http://schemas.microsoft.com/office/drawing/2010/main" w="9525" cap="flat" cmpd="sng" algn="ctr">
              <a:solidFill>
                <a:schemeClr val="accent1">
                  <a:shade val="95000"/>
                  <a:satMod val="105000"/>
                </a:schemeClr>
              </a:solidFill>
              <a:prstDash val="solid"/>
              <a:tailEnd type="triangle" w="med" len="med"/>
            </a14:hiddenLine>
          </a:ext>
        </a:extLst>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203200</xdr:colOff>
      <xdr:row>6</xdr:row>
      <xdr:rowOff>171450</xdr:rowOff>
    </xdr:from>
    <xdr:to>
      <xdr:col>14</xdr:col>
      <xdr:colOff>558800</xdr:colOff>
      <xdr:row>8</xdr:row>
      <xdr:rowOff>38100</xdr:rowOff>
    </xdr:to>
    <xdr:sp macro="SetVerDir" textlink="">
      <xdr:nvSpPr>
        <xdr:cNvPr id="94507" name="DalekRow05">
          <a:extLst>
            <a:ext uri="{FF2B5EF4-FFF2-40B4-BE49-F238E27FC236}">
              <a16:creationId xmlns:a16="http://schemas.microsoft.com/office/drawing/2014/main" id="{4D5ED4C2-6D27-BFFE-39B0-4F3DD2E66989}"/>
            </a:ext>
          </a:extLst>
        </xdr:cNvPr>
        <xdr:cNvSpPr/>
      </xdr:nvSpPr>
      <xdr:spPr>
        <a:xfrm>
          <a:off x="9804400" y="1257300"/>
          <a:ext cx="355600" cy="228600"/>
        </a:xfrm>
        <a:prstGeom prst="rect">
          <a:avLst/>
        </a:prstGeom>
        <a:solidFill>
          <a:srgbClr val="CACACA"/>
        </a:soli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14</xdr:col>
      <xdr:colOff>241300</xdr:colOff>
      <xdr:row>7</xdr:row>
      <xdr:rowOff>53975</xdr:rowOff>
    </xdr:from>
    <xdr:to>
      <xdr:col>14</xdr:col>
      <xdr:colOff>622300</xdr:colOff>
      <xdr:row>7</xdr:row>
      <xdr:rowOff>53975</xdr:rowOff>
    </xdr:to>
    <xdr:cxnSp macro="SetVerDir">
      <xdr:nvCxnSpPr>
        <xdr:cNvPr id="94508" name="DalekRowDir05">
          <a:extLst>
            <a:ext uri="{FF2B5EF4-FFF2-40B4-BE49-F238E27FC236}">
              <a16:creationId xmlns:a16="http://schemas.microsoft.com/office/drawing/2014/main" id="{D551F771-440D-7C5E-8D0A-98422603F397}"/>
            </a:ext>
          </a:extLst>
        </xdr:cNvPr>
        <xdr:cNvCxnSpPr/>
      </xdr:nvCxnSpPr>
      <xdr:spPr>
        <a:xfrm flipV="1">
          <a:off x="9842500" y="1320800"/>
          <a:ext cx="381000" cy="0"/>
        </a:xfrm>
        <a:prstGeom prst="line">
          <a:avLst/>
        </a:prstGeom>
        <a:noFill/>
        <a:ln w="9525" cap="flat" cmpd="sng" algn="ctr">
          <a:noFill/>
          <a:prstDash val="solid"/>
          <a:tailEnd type="triangle" w="med" len="med"/>
        </a:ln>
        <a:effectLst/>
        <a:extLst>
          <a:ext uri="{91240B29-F687-4F45-9708-019B960494DF}">
            <a14:hiddenLine xmlns:a14="http://schemas.microsoft.com/office/drawing/2010/main" w="9525" cap="flat" cmpd="sng" algn="ctr">
              <a:solidFill>
                <a:schemeClr val="accent1">
                  <a:shade val="95000"/>
                  <a:satMod val="105000"/>
                </a:schemeClr>
              </a:solidFill>
              <a:prstDash val="solid"/>
              <a:tailEnd type="triangle" w="med" len="med"/>
            </a14:hiddenLine>
          </a:ext>
        </a:extLst>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101600</xdr:colOff>
      <xdr:row>15</xdr:row>
      <xdr:rowOff>98425</xdr:rowOff>
    </xdr:from>
    <xdr:to>
      <xdr:col>3</xdr:col>
      <xdr:colOff>292100</xdr:colOff>
      <xdr:row>16</xdr:row>
      <xdr:rowOff>107950</xdr:rowOff>
    </xdr:to>
    <xdr:sp macro="SetFill" textlink="">
      <xdr:nvSpPr>
        <xdr:cNvPr id="94509" name="DalekFillLED0">
          <a:extLst>
            <a:ext uri="{FF2B5EF4-FFF2-40B4-BE49-F238E27FC236}">
              <a16:creationId xmlns:a16="http://schemas.microsoft.com/office/drawing/2014/main" id="{208A2784-0E0F-A747-C8FD-648ACA8E6B13}"/>
            </a:ext>
          </a:extLst>
        </xdr:cNvPr>
        <xdr:cNvSpPr/>
      </xdr:nvSpPr>
      <xdr:spPr>
        <a:xfrm>
          <a:off x="2159000" y="3175000"/>
          <a:ext cx="190500" cy="190500"/>
        </a:xfrm>
        <a:prstGeom prst="ellipse">
          <a:avLst/>
        </a:prstGeom>
        <a:pattFill prst="pct25">
          <a:fgClr>
            <a:srgbClr val="646464"/>
          </a:fgClr>
          <a:bgClr>
            <a:srgbClr val="000000"/>
          </a:bgClr>
        </a:patt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3</xdr:col>
      <xdr:colOff>355600</xdr:colOff>
      <xdr:row>15</xdr:row>
      <xdr:rowOff>98425</xdr:rowOff>
    </xdr:from>
    <xdr:to>
      <xdr:col>3</xdr:col>
      <xdr:colOff>546100</xdr:colOff>
      <xdr:row>16</xdr:row>
      <xdr:rowOff>107950</xdr:rowOff>
    </xdr:to>
    <xdr:sp macro="SetFill" textlink="">
      <xdr:nvSpPr>
        <xdr:cNvPr id="94510" name="DalekFillLED1">
          <a:extLst>
            <a:ext uri="{FF2B5EF4-FFF2-40B4-BE49-F238E27FC236}">
              <a16:creationId xmlns:a16="http://schemas.microsoft.com/office/drawing/2014/main" id="{572A2463-53DF-4767-40D5-B18E4CC0BE65}"/>
            </a:ext>
          </a:extLst>
        </xdr:cNvPr>
        <xdr:cNvSpPr/>
      </xdr:nvSpPr>
      <xdr:spPr>
        <a:xfrm>
          <a:off x="2413000" y="3175000"/>
          <a:ext cx="190500" cy="190500"/>
        </a:xfrm>
        <a:prstGeom prst="ellipse">
          <a:avLst/>
        </a:prstGeom>
        <a:gradFill flip="none" rotWithShape="1">
          <a:gsLst>
            <a:gs pos="0">
              <a:srgbClr val="3232FF"/>
            </a:gs>
            <a:gs pos="100000">
              <a:srgbClr val="3232FF">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3</xdr:col>
      <xdr:colOff>609600</xdr:colOff>
      <xdr:row>15</xdr:row>
      <xdr:rowOff>98425</xdr:rowOff>
    </xdr:from>
    <xdr:to>
      <xdr:col>4</xdr:col>
      <xdr:colOff>114300</xdr:colOff>
      <xdr:row>16</xdr:row>
      <xdr:rowOff>107950</xdr:rowOff>
    </xdr:to>
    <xdr:sp macro="SetFill" textlink="">
      <xdr:nvSpPr>
        <xdr:cNvPr id="94511" name="DalekFillLED2">
          <a:extLst>
            <a:ext uri="{FF2B5EF4-FFF2-40B4-BE49-F238E27FC236}">
              <a16:creationId xmlns:a16="http://schemas.microsoft.com/office/drawing/2014/main" id="{2FB5C4BB-7674-0FDF-250A-3086CAB4C259}"/>
            </a:ext>
          </a:extLst>
        </xdr:cNvPr>
        <xdr:cNvSpPr/>
      </xdr:nvSpPr>
      <xdr:spPr>
        <a:xfrm>
          <a:off x="2667000" y="3175000"/>
          <a:ext cx="190500" cy="190500"/>
        </a:xfrm>
        <a:prstGeom prst="ellipse">
          <a:avLst/>
        </a:prstGeom>
        <a:pattFill prst="pct25">
          <a:fgClr>
            <a:srgbClr val="4BFF4B"/>
          </a:fgClr>
          <a:bgClr>
            <a:srgbClr val="000000"/>
          </a:bgClr>
        </a:patt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4</xdr:col>
      <xdr:colOff>177800</xdr:colOff>
      <xdr:row>15</xdr:row>
      <xdr:rowOff>98425</xdr:rowOff>
    </xdr:from>
    <xdr:to>
      <xdr:col>4</xdr:col>
      <xdr:colOff>368300</xdr:colOff>
      <xdr:row>16</xdr:row>
      <xdr:rowOff>107950</xdr:rowOff>
    </xdr:to>
    <xdr:sp macro="SetFill" textlink="">
      <xdr:nvSpPr>
        <xdr:cNvPr id="94512" name="DalekFillLED3">
          <a:extLst>
            <a:ext uri="{FF2B5EF4-FFF2-40B4-BE49-F238E27FC236}">
              <a16:creationId xmlns:a16="http://schemas.microsoft.com/office/drawing/2014/main" id="{545C7CE6-83FC-8AD1-B558-60877CBB0146}"/>
            </a:ext>
          </a:extLst>
        </xdr:cNvPr>
        <xdr:cNvSpPr/>
      </xdr:nvSpPr>
      <xdr:spPr>
        <a:xfrm>
          <a:off x="2921000" y="3175000"/>
          <a:ext cx="190500" cy="190500"/>
        </a:xfrm>
        <a:prstGeom prst="ellipse">
          <a:avLst/>
        </a:prstGeom>
        <a:pattFill prst="pct25">
          <a:fgClr>
            <a:srgbClr val="00FFFF"/>
          </a:fgClr>
          <a:bgClr>
            <a:srgbClr val="000000"/>
          </a:bgClr>
        </a:patt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4</xdr:col>
      <xdr:colOff>431800</xdr:colOff>
      <xdr:row>15</xdr:row>
      <xdr:rowOff>98425</xdr:rowOff>
    </xdr:from>
    <xdr:to>
      <xdr:col>4</xdr:col>
      <xdr:colOff>622300</xdr:colOff>
      <xdr:row>16</xdr:row>
      <xdr:rowOff>107950</xdr:rowOff>
    </xdr:to>
    <xdr:sp macro="SetFill" textlink="">
      <xdr:nvSpPr>
        <xdr:cNvPr id="94513" name="DalekFillLED4">
          <a:extLst>
            <a:ext uri="{FF2B5EF4-FFF2-40B4-BE49-F238E27FC236}">
              <a16:creationId xmlns:a16="http://schemas.microsoft.com/office/drawing/2014/main" id="{F5DC7C83-2066-F3D2-946C-45EDEC86603B}"/>
            </a:ext>
          </a:extLst>
        </xdr:cNvPr>
        <xdr:cNvSpPr/>
      </xdr:nvSpPr>
      <xdr:spPr>
        <a:xfrm>
          <a:off x="3175000" y="3175000"/>
          <a:ext cx="190500" cy="190500"/>
        </a:xfrm>
        <a:prstGeom prst="ellipse">
          <a:avLst/>
        </a:prstGeom>
        <a:pattFill prst="pct20">
          <a:fgClr>
            <a:srgbClr val="FF0000"/>
          </a:fgClr>
          <a:bgClr>
            <a:srgbClr val="000000"/>
          </a:bgClr>
        </a:patt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5</xdr:col>
      <xdr:colOff>0</xdr:colOff>
      <xdr:row>15</xdr:row>
      <xdr:rowOff>98425</xdr:rowOff>
    </xdr:from>
    <xdr:to>
      <xdr:col>5</xdr:col>
      <xdr:colOff>190500</xdr:colOff>
      <xdr:row>16</xdr:row>
      <xdr:rowOff>107950</xdr:rowOff>
    </xdr:to>
    <xdr:sp macro="SetFill" textlink="">
      <xdr:nvSpPr>
        <xdr:cNvPr id="94514" name="DalekFillLED5">
          <a:extLst>
            <a:ext uri="{FF2B5EF4-FFF2-40B4-BE49-F238E27FC236}">
              <a16:creationId xmlns:a16="http://schemas.microsoft.com/office/drawing/2014/main" id="{81E9CF37-C90D-D112-9D45-D0704D29DCA8}"/>
            </a:ext>
          </a:extLst>
        </xdr:cNvPr>
        <xdr:cNvSpPr/>
      </xdr:nvSpPr>
      <xdr:spPr>
        <a:xfrm>
          <a:off x="3429000" y="3175000"/>
          <a:ext cx="190500" cy="190500"/>
        </a:xfrm>
        <a:prstGeom prst="ellipse">
          <a:avLst/>
        </a:prstGeom>
        <a:pattFill prst="pct25">
          <a:fgClr>
            <a:srgbClr val="FF00FF"/>
          </a:fgClr>
          <a:bgClr>
            <a:srgbClr val="000000"/>
          </a:bgClr>
        </a:patt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5</xdr:col>
      <xdr:colOff>254000</xdr:colOff>
      <xdr:row>15</xdr:row>
      <xdr:rowOff>98425</xdr:rowOff>
    </xdr:from>
    <xdr:to>
      <xdr:col>5</xdr:col>
      <xdr:colOff>444500</xdr:colOff>
      <xdr:row>16</xdr:row>
      <xdr:rowOff>107950</xdr:rowOff>
    </xdr:to>
    <xdr:sp macro="SetFill" textlink="">
      <xdr:nvSpPr>
        <xdr:cNvPr id="94515" name="DalekFillLED6">
          <a:extLst>
            <a:ext uri="{FF2B5EF4-FFF2-40B4-BE49-F238E27FC236}">
              <a16:creationId xmlns:a16="http://schemas.microsoft.com/office/drawing/2014/main" id="{A8C85FBB-C493-0005-642B-50925BF0DAFA}"/>
            </a:ext>
          </a:extLst>
        </xdr:cNvPr>
        <xdr:cNvSpPr/>
      </xdr:nvSpPr>
      <xdr:spPr>
        <a:xfrm>
          <a:off x="3683000" y="3175000"/>
          <a:ext cx="190500" cy="190500"/>
        </a:xfrm>
        <a:prstGeom prst="ellipse">
          <a:avLst/>
        </a:prstGeom>
        <a:pattFill prst="pct25">
          <a:fgClr>
            <a:srgbClr val="FFFF00"/>
          </a:fgClr>
          <a:bgClr>
            <a:srgbClr val="000000"/>
          </a:bgClr>
        </a:patt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5</xdr:col>
      <xdr:colOff>508000</xdr:colOff>
      <xdr:row>15</xdr:row>
      <xdr:rowOff>98425</xdr:rowOff>
    </xdr:from>
    <xdr:to>
      <xdr:col>6</xdr:col>
      <xdr:colOff>12700</xdr:colOff>
      <xdr:row>16</xdr:row>
      <xdr:rowOff>107950</xdr:rowOff>
    </xdr:to>
    <xdr:sp macro="SetFill" textlink="">
      <xdr:nvSpPr>
        <xdr:cNvPr id="94516" name="DalekFillLED7">
          <a:extLst>
            <a:ext uri="{FF2B5EF4-FFF2-40B4-BE49-F238E27FC236}">
              <a16:creationId xmlns:a16="http://schemas.microsoft.com/office/drawing/2014/main" id="{CC017974-2AC6-6111-4470-D277AEC10325}"/>
            </a:ext>
          </a:extLst>
        </xdr:cNvPr>
        <xdr:cNvSpPr/>
      </xdr:nvSpPr>
      <xdr:spPr>
        <a:xfrm>
          <a:off x="3937000" y="3175000"/>
          <a:ext cx="190500" cy="190500"/>
        </a:xfrm>
        <a:prstGeom prst="ellipse">
          <a:avLst/>
        </a:prstGeom>
        <a:pattFill prst="pct25">
          <a:fgClr>
            <a:srgbClr val="FFFFFF"/>
          </a:fgClr>
          <a:bgClr>
            <a:srgbClr val="000000"/>
          </a:bgClr>
        </a:patt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1</xdr:col>
      <xdr:colOff>203200</xdr:colOff>
      <xdr:row>16</xdr:row>
      <xdr:rowOff>44450</xdr:rowOff>
    </xdr:from>
    <xdr:to>
      <xdr:col>1</xdr:col>
      <xdr:colOff>584200</xdr:colOff>
      <xdr:row>18</xdr:row>
      <xdr:rowOff>63500</xdr:rowOff>
    </xdr:to>
    <xdr:sp macro="SetEye" textlink="">
      <xdr:nvSpPr>
        <xdr:cNvPr id="94517" name="DalekEyeNose1">
          <a:extLst>
            <a:ext uri="{FF2B5EF4-FFF2-40B4-BE49-F238E27FC236}">
              <a16:creationId xmlns:a16="http://schemas.microsoft.com/office/drawing/2014/main" id="{9782B45C-028E-4E9B-2A81-FCF670095B98}"/>
            </a:ext>
          </a:extLst>
        </xdr:cNvPr>
        <xdr:cNvSpPr/>
      </xdr:nvSpPr>
      <xdr:spPr>
        <a:xfrm>
          <a:off x="889000" y="3302000"/>
          <a:ext cx="381000" cy="3810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0</xdr:col>
      <xdr:colOff>508000</xdr:colOff>
      <xdr:row>13</xdr:row>
      <xdr:rowOff>79375</xdr:rowOff>
    </xdr:from>
    <xdr:to>
      <xdr:col>1</xdr:col>
      <xdr:colOff>203200</xdr:colOff>
      <xdr:row>15</xdr:row>
      <xdr:rowOff>98425</xdr:rowOff>
    </xdr:to>
    <xdr:sp macro="SetEye" textlink="">
      <xdr:nvSpPr>
        <xdr:cNvPr id="94518" name="DalekEyeNose2">
          <a:extLst>
            <a:ext uri="{FF2B5EF4-FFF2-40B4-BE49-F238E27FC236}">
              <a16:creationId xmlns:a16="http://schemas.microsoft.com/office/drawing/2014/main" id="{1FBDEEBE-A26D-0D65-4EA4-03F0C8CA082A}"/>
            </a:ext>
          </a:extLst>
        </xdr:cNvPr>
        <xdr:cNvSpPr/>
      </xdr:nvSpPr>
      <xdr:spPr>
        <a:xfrm>
          <a:off x="508000" y="2794000"/>
          <a:ext cx="381000" cy="3810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1</xdr:col>
      <xdr:colOff>584200</xdr:colOff>
      <xdr:row>13</xdr:row>
      <xdr:rowOff>79375</xdr:rowOff>
    </xdr:from>
    <xdr:to>
      <xdr:col>2</xdr:col>
      <xdr:colOff>279400</xdr:colOff>
      <xdr:row>15</xdr:row>
      <xdr:rowOff>98425</xdr:rowOff>
    </xdr:to>
    <xdr:sp macro="SetEye" textlink="">
      <xdr:nvSpPr>
        <xdr:cNvPr id="94519" name="DalekEyeNose3">
          <a:extLst>
            <a:ext uri="{FF2B5EF4-FFF2-40B4-BE49-F238E27FC236}">
              <a16:creationId xmlns:a16="http://schemas.microsoft.com/office/drawing/2014/main" id="{BF7F3B34-CF51-E942-4FA4-120E3A0626EF}"/>
            </a:ext>
          </a:extLst>
        </xdr:cNvPr>
        <xdr:cNvSpPr/>
      </xdr:nvSpPr>
      <xdr:spPr>
        <a:xfrm>
          <a:off x="1270000" y="2794000"/>
          <a:ext cx="381000" cy="3810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47625</xdr:colOff>
          <xdr:row>6</xdr:row>
          <xdr:rowOff>219075</xdr:rowOff>
        </xdr:from>
        <xdr:to>
          <xdr:col>5</xdr:col>
          <xdr:colOff>600075</xdr:colOff>
          <xdr:row>8</xdr:row>
          <xdr:rowOff>133350</xdr:rowOff>
        </xdr:to>
        <xdr:sp macro="" textlink="">
          <xdr:nvSpPr>
            <xdr:cNvPr id="112641" name="btnSetTimingRing" hidden="1">
              <a:extLst>
                <a:ext uri="{63B3BB69-23CF-44E3-9099-C40C66FF867C}">
                  <a14:compatExt spid="_x0000_s112641"/>
                </a:ext>
                <a:ext uri="{FF2B5EF4-FFF2-40B4-BE49-F238E27FC236}">
                  <a16:creationId xmlns:a16="http://schemas.microsoft.com/office/drawing/2014/main" id="{00000000-0008-0000-0100-000001B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8</xdr:row>
          <xdr:rowOff>9525</xdr:rowOff>
        </xdr:from>
        <xdr:to>
          <xdr:col>8</xdr:col>
          <xdr:colOff>1428750</xdr:colOff>
          <xdr:row>10</xdr:row>
          <xdr:rowOff>133350</xdr:rowOff>
        </xdr:to>
        <xdr:sp macro="" textlink="">
          <xdr:nvSpPr>
            <xdr:cNvPr id="112642" name="btnSetColorRing" hidden="1">
              <a:extLst>
                <a:ext uri="{63B3BB69-23CF-44E3-9099-C40C66FF867C}">
                  <a14:compatExt spid="_x0000_s112642"/>
                </a:ext>
                <a:ext uri="{FF2B5EF4-FFF2-40B4-BE49-F238E27FC236}">
                  <a16:creationId xmlns:a16="http://schemas.microsoft.com/office/drawing/2014/main" id="{00000000-0008-0000-0100-000002B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171450</xdr:colOff>
          <xdr:row>11</xdr:row>
          <xdr:rowOff>95250</xdr:rowOff>
        </xdr:from>
        <xdr:to>
          <xdr:col>5</xdr:col>
          <xdr:colOff>1200150</xdr:colOff>
          <xdr:row>14</xdr:row>
          <xdr:rowOff>9525</xdr:rowOff>
        </xdr:to>
        <xdr:sp macro="" textlink="">
          <xdr:nvSpPr>
            <xdr:cNvPr id="112643" name="btnEraseHEAD" hidden="1">
              <a:extLst>
                <a:ext uri="{63B3BB69-23CF-44E3-9099-C40C66FF867C}">
                  <a14:compatExt spid="_x0000_s112643"/>
                </a:ext>
                <a:ext uri="{FF2B5EF4-FFF2-40B4-BE49-F238E27FC236}">
                  <a16:creationId xmlns:a16="http://schemas.microsoft.com/office/drawing/2014/main" id="{00000000-0008-0000-0100-000003B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171450</xdr:colOff>
          <xdr:row>16</xdr:row>
          <xdr:rowOff>123825</xdr:rowOff>
        </xdr:from>
        <xdr:to>
          <xdr:col>5</xdr:col>
          <xdr:colOff>1181100</xdr:colOff>
          <xdr:row>18</xdr:row>
          <xdr:rowOff>142875</xdr:rowOff>
        </xdr:to>
        <xdr:sp macro="" textlink="">
          <xdr:nvSpPr>
            <xdr:cNvPr id="112644" name="btnPlayHEAD" hidden="1">
              <a:extLst>
                <a:ext uri="{63B3BB69-23CF-44E3-9099-C40C66FF867C}">
                  <a14:compatExt spid="_x0000_s112644"/>
                </a:ext>
                <a:ext uri="{FF2B5EF4-FFF2-40B4-BE49-F238E27FC236}">
                  <a16:creationId xmlns:a16="http://schemas.microsoft.com/office/drawing/2014/main" id="{00000000-0008-0000-0100-000004B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152400</xdr:colOff>
          <xdr:row>18</xdr:row>
          <xdr:rowOff>180975</xdr:rowOff>
        </xdr:from>
        <xdr:to>
          <xdr:col>5</xdr:col>
          <xdr:colOff>1171575</xdr:colOff>
          <xdr:row>20</xdr:row>
          <xdr:rowOff>200025</xdr:rowOff>
        </xdr:to>
        <xdr:sp macro="" textlink="">
          <xdr:nvSpPr>
            <xdr:cNvPr id="112645" name="cmdStopPlayingHead" hidden="1">
              <a:extLst>
                <a:ext uri="{63B3BB69-23CF-44E3-9099-C40C66FF867C}">
                  <a14:compatExt spid="_x0000_s112645"/>
                </a:ext>
                <a:ext uri="{FF2B5EF4-FFF2-40B4-BE49-F238E27FC236}">
                  <a16:creationId xmlns:a16="http://schemas.microsoft.com/office/drawing/2014/main" id="{00000000-0008-0000-0100-000005B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2</xdr:row>
          <xdr:rowOff>85725</xdr:rowOff>
        </xdr:from>
        <xdr:to>
          <xdr:col>9</xdr:col>
          <xdr:colOff>1295400</xdr:colOff>
          <xdr:row>2</xdr:row>
          <xdr:rowOff>352425</xdr:rowOff>
        </xdr:to>
        <xdr:sp macro="" textlink="">
          <xdr:nvSpPr>
            <xdr:cNvPr id="112647" name="cmbLeftEyeColor" hidden="1">
              <a:extLst>
                <a:ext uri="{63B3BB69-23CF-44E3-9099-C40C66FF867C}">
                  <a14:compatExt spid="_x0000_s112647"/>
                </a:ext>
                <a:ext uri="{FF2B5EF4-FFF2-40B4-BE49-F238E27FC236}">
                  <a16:creationId xmlns:a16="http://schemas.microsoft.com/office/drawing/2014/main" id="{00000000-0008-0000-0100-000007B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28575</xdr:colOff>
          <xdr:row>2</xdr:row>
          <xdr:rowOff>85725</xdr:rowOff>
        </xdr:from>
        <xdr:to>
          <xdr:col>10</xdr:col>
          <xdr:colOff>1295400</xdr:colOff>
          <xdr:row>2</xdr:row>
          <xdr:rowOff>352425</xdr:rowOff>
        </xdr:to>
        <xdr:sp macro="" textlink="">
          <xdr:nvSpPr>
            <xdr:cNvPr id="112649" name="cmbNoseColor" hidden="1">
              <a:extLst>
                <a:ext uri="{63B3BB69-23CF-44E3-9099-C40C66FF867C}">
                  <a14:compatExt spid="_x0000_s112649"/>
                </a:ext>
                <a:ext uri="{FF2B5EF4-FFF2-40B4-BE49-F238E27FC236}">
                  <a16:creationId xmlns:a16="http://schemas.microsoft.com/office/drawing/2014/main" id="{00000000-0008-0000-0100-000009B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28575</xdr:colOff>
          <xdr:row>2</xdr:row>
          <xdr:rowOff>85725</xdr:rowOff>
        </xdr:from>
        <xdr:to>
          <xdr:col>11</xdr:col>
          <xdr:colOff>1295400</xdr:colOff>
          <xdr:row>2</xdr:row>
          <xdr:rowOff>352425</xdr:rowOff>
        </xdr:to>
        <xdr:sp macro="" textlink="">
          <xdr:nvSpPr>
            <xdr:cNvPr id="112650" name="cmbRightEyeColor" hidden="1">
              <a:extLst>
                <a:ext uri="{63B3BB69-23CF-44E3-9099-C40C66FF867C}">
                  <a14:compatExt spid="_x0000_s112650"/>
                </a:ext>
                <a:ext uri="{FF2B5EF4-FFF2-40B4-BE49-F238E27FC236}">
                  <a16:creationId xmlns:a16="http://schemas.microsoft.com/office/drawing/2014/main" id="{00000000-0008-0000-0100-00000AB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3</xdr:row>
          <xdr:rowOff>85725</xdr:rowOff>
        </xdr:from>
        <xdr:to>
          <xdr:col>9</xdr:col>
          <xdr:colOff>1295400</xdr:colOff>
          <xdr:row>3</xdr:row>
          <xdr:rowOff>352425</xdr:rowOff>
        </xdr:to>
        <xdr:sp macro="" textlink="">
          <xdr:nvSpPr>
            <xdr:cNvPr id="112651" name="cmbLeftEyePattern" hidden="1">
              <a:extLst>
                <a:ext uri="{63B3BB69-23CF-44E3-9099-C40C66FF867C}">
                  <a14:compatExt spid="_x0000_s112651"/>
                </a:ext>
                <a:ext uri="{FF2B5EF4-FFF2-40B4-BE49-F238E27FC236}">
                  <a16:creationId xmlns:a16="http://schemas.microsoft.com/office/drawing/2014/main" id="{00000000-0008-0000-0100-00000BB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28575</xdr:colOff>
          <xdr:row>3</xdr:row>
          <xdr:rowOff>85725</xdr:rowOff>
        </xdr:from>
        <xdr:to>
          <xdr:col>10</xdr:col>
          <xdr:colOff>1295400</xdr:colOff>
          <xdr:row>3</xdr:row>
          <xdr:rowOff>352425</xdr:rowOff>
        </xdr:to>
        <xdr:sp macro="" textlink="">
          <xdr:nvSpPr>
            <xdr:cNvPr id="112653" name="cmbNosePattern" hidden="1">
              <a:extLst>
                <a:ext uri="{63B3BB69-23CF-44E3-9099-C40C66FF867C}">
                  <a14:compatExt spid="_x0000_s112653"/>
                </a:ext>
                <a:ext uri="{FF2B5EF4-FFF2-40B4-BE49-F238E27FC236}">
                  <a16:creationId xmlns:a16="http://schemas.microsoft.com/office/drawing/2014/main" id="{00000000-0008-0000-0100-00000DB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28575</xdr:colOff>
          <xdr:row>3</xdr:row>
          <xdr:rowOff>85725</xdr:rowOff>
        </xdr:from>
        <xdr:to>
          <xdr:col>11</xdr:col>
          <xdr:colOff>1295400</xdr:colOff>
          <xdr:row>3</xdr:row>
          <xdr:rowOff>352425</xdr:rowOff>
        </xdr:to>
        <xdr:sp macro="" textlink="">
          <xdr:nvSpPr>
            <xdr:cNvPr id="112654" name="cmbRightEyePattern" hidden="1">
              <a:extLst>
                <a:ext uri="{63B3BB69-23CF-44E3-9099-C40C66FF867C}">
                  <a14:compatExt spid="_x0000_s112654"/>
                </a:ext>
                <a:ext uri="{FF2B5EF4-FFF2-40B4-BE49-F238E27FC236}">
                  <a16:creationId xmlns:a16="http://schemas.microsoft.com/office/drawing/2014/main" id="{00000000-0008-0000-0100-00000EB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1238250</xdr:colOff>
          <xdr:row>8</xdr:row>
          <xdr:rowOff>9525</xdr:rowOff>
        </xdr:from>
        <xdr:to>
          <xdr:col>7</xdr:col>
          <xdr:colOff>9525</xdr:colOff>
          <xdr:row>10</xdr:row>
          <xdr:rowOff>133350</xdr:rowOff>
        </xdr:to>
        <xdr:sp macro="" textlink="">
          <xdr:nvSpPr>
            <xdr:cNvPr id="112656" name="btnSetColorHead" hidden="1">
              <a:extLst>
                <a:ext uri="{63B3BB69-23CF-44E3-9099-C40C66FF867C}">
                  <a14:compatExt spid="_x0000_s112656"/>
                </a:ext>
                <a:ext uri="{FF2B5EF4-FFF2-40B4-BE49-F238E27FC236}">
                  <a16:creationId xmlns:a16="http://schemas.microsoft.com/office/drawing/2014/main" id="{00000000-0008-0000-0100-000010B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57150</xdr:colOff>
          <xdr:row>9</xdr:row>
          <xdr:rowOff>19050</xdr:rowOff>
        </xdr:from>
        <xdr:to>
          <xdr:col>5</xdr:col>
          <xdr:colOff>609600</xdr:colOff>
          <xdr:row>10</xdr:row>
          <xdr:rowOff>171450</xdr:rowOff>
        </xdr:to>
        <xdr:sp macro="" textlink="">
          <xdr:nvSpPr>
            <xdr:cNvPr id="112658" name="btnSetTimingHead" hidden="1">
              <a:extLst>
                <a:ext uri="{63B3BB69-23CF-44E3-9099-C40C66FF867C}">
                  <a14:compatExt spid="_x0000_s112658"/>
                </a:ext>
                <a:ext uri="{FF2B5EF4-FFF2-40B4-BE49-F238E27FC236}">
                  <a16:creationId xmlns:a16="http://schemas.microsoft.com/office/drawing/2014/main" id="{00000000-0008-0000-0100-000012B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123825</xdr:colOff>
          <xdr:row>3</xdr:row>
          <xdr:rowOff>28575</xdr:rowOff>
        </xdr:from>
        <xdr:to>
          <xdr:col>1</xdr:col>
          <xdr:colOff>1038225</xdr:colOff>
          <xdr:row>3</xdr:row>
          <xdr:rowOff>333375</xdr:rowOff>
        </xdr:to>
        <xdr:sp macro="" textlink="">
          <xdr:nvSpPr>
            <xdr:cNvPr id="112659" name="btnLeft" hidden="1">
              <a:extLst>
                <a:ext uri="{63B3BB69-23CF-44E3-9099-C40C66FF867C}">
                  <a14:compatExt spid="_x0000_s112659"/>
                </a:ext>
                <a:ext uri="{FF2B5EF4-FFF2-40B4-BE49-F238E27FC236}">
                  <a16:creationId xmlns:a16="http://schemas.microsoft.com/office/drawing/2014/main" id="{00000000-0008-0000-0100-000013B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3</xdr:row>
          <xdr:rowOff>28575</xdr:rowOff>
        </xdr:from>
        <xdr:to>
          <xdr:col>2</xdr:col>
          <xdr:colOff>933450</xdr:colOff>
          <xdr:row>3</xdr:row>
          <xdr:rowOff>333375</xdr:rowOff>
        </xdr:to>
        <xdr:sp macro="" textlink="">
          <xdr:nvSpPr>
            <xdr:cNvPr id="112660" name="btnRigh" hidden="1">
              <a:extLst>
                <a:ext uri="{63B3BB69-23CF-44E3-9099-C40C66FF867C}">
                  <a14:compatExt spid="_x0000_s112660"/>
                </a:ext>
                <a:ext uri="{FF2B5EF4-FFF2-40B4-BE49-F238E27FC236}">
                  <a16:creationId xmlns:a16="http://schemas.microsoft.com/office/drawing/2014/main" id="{00000000-0008-0000-0100-000014B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133350</xdr:colOff>
          <xdr:row>2</xdr:row>
          <xdr:rowOff>76200</xdr:rowOff>
        </xdr:from>
        <xdr:to>
          <xdr:col>1</xdr:col>
          <xdr:colOff>1047750</xdr:colOff>
          <xdr:row>2</xdr:row>
          <xdr:rowOff>381000</xdr:rowOff>
        </xdr:to>
        <xdr:sp macro="" textlink="">
          <xdr:nvSpPr>
            <xdr:cNvPr id="112661" name="btnErase" hidden="1">
              <a:extLst>
                <a:ext uri="{63B3BB69-23CF-44E3-9099-C40C66FF867C}">
                  <a14:compatExt spid="_x0000_s112661"/>
                </a:ext>
                <a:ext uri="{FF2B5EF4-FFF2-40B4-BE49-F238E27FC236}">
                  <a16:creationId xmlns:a16="http://schemas.microsoft.com/office/drawing/2014/main" id="{00000000-0008-0000-0100-000015B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2</xdr:row>
          <xdr:rowOff>85725</xdr:rowOff>
        </xdr:from>
        <xdr:to>
          <xdr:col>2</xdr:col>
          <xdr:colOff>933450</xdr:colOff>
          <xdr:row>2</xdr:row>
          <xdr:rowOff>390525</xdr:rowOff>
        </xdr:to>
        <xdr:sp macro="" textlink="">
          <xdr:nvSpPr>
            <xdr:cNvPr id="112662" name="btnFill" hidden="1">
              <a:extLst>
                <a:ext uri="{63B3BB69-23CF-44E3-9099-C40C66FF867C}">
                  <a14:compatExt spid="_x0000_s112662"/>
                </a:ext>
                <a:ext uri="{FF2B5EF4-FFF2-40B4-BE49-F238E27FC236}">
                  <a16:creationId xmlns:a16="http://schemas.microsoft.com/office/drawing/2014/main" id="{00000000-0008-0000-0100-000016B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266700</xdr:colOff>
          <xdr:row>2</xdr:row>
          <xdr:rowOff>133350</xdr:rowOff>
        </xdr:from>
        <xdr:to>
          <xdr:col>4</xdr:col>
          <xdr:colOff>476250</xdr:colOff>
          <xdr:row>2</xdr:row>
          <xdr:rowOff>352425</xdr:rowOff>
        </xdr:to>
        <xdr:sp macro="" textlink="">
          <xdr:nvSpPr>
            <xdr:cNvPr id="112663" name="CBfill" hidden="1">
              <a:extLst>
                <a:ext uri="{63B3BB69-23CF-44E3-9099-C40C66FF867C}">
                  <a14:compatExt spid="_x0000_s112663"/>
                </a:ext>
                <a:ext uri="{FF2B5EF4-FFF2-40B4-BE49-F238E27FC236}">
                  <a16:creationId xmlns:a16="http://schemas.microsoft.com/office/drawing/2014/main" id="{00000000-0008-0000-0100-000017B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1066800</xdr:colOff>
          <xdr:row>2</xdr:row>
          <xdr:rowOff>104775</xdr:rowOff>
        </xdr:from>
        <xdr:to>
          <xdr:col>3</xdr:col>
          <xdr:colOff>285750</xdr:colOff>
          <xdr:row>2</xdr:row>
          <xdr:rowOff>361950</xdr:rowOff>
        </xdr:to>
        <xdr:sp macro="" textlink="">
          <xdr:nvSpPr>
            <xdr:cNvPr id="112664" name="CBrotate" hidden="1">
              <a:extLst>
                <a:ext uri="{63B3BB69-23CF-44E3-9099-C40C66FF867C}">
                  <a14:compatExt spid="_x0000_s112664"/>
                </a:ext>
                <a:ext uri="{FF2B5EF4-FFF2-40B4-BE49-F238E27FC236}">
                  <a16:creationId xmlns:a16="http://schemas.microsoft.com/office/drawing/2014/main" id="{00000000-0008-0000-0100-000018B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133350</xdr:colOff>
          <xdr:row>3</xdr:row>
          <xdr:rowOff>409575</xdr:rowOff>
        </xdr:from>
        <xdr:to>
          <xdr:col>1</xdr:col>
          <xdr:colOff>1047750</xdr:colOff>
          <xdr:row>4</xdr:row>
          <xdr:rowOff>276225</xdr:rowOff>
        </xdr:to>
        <xdr:sp macro="" textlink="">
          <xdr:nvSpPr>
            <xdr:cNvPr id="112665" name="cmdIn" hidden="1">
              <a:extLst>
                <a:ext uri="{63B3BB69-23CF-44E3-9099-C40C66FF867C}">
                  <a14:compatExt spid="_x0000_s112665"/>
                </a:ext>
                <a:ext uri="{FF2B5EF4-FFF2-40B4-BE49-F238E27FC236}">
                  <a16:creationId xmlns:a16="http://schemas.microsoft.com/office/drawing/2014/main" id="{00000000-0008-0000-0100-000019B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3</xdr:row>
          <xdr:rowOff>400050</xdr:rowOff>
        </xdr:from>
        <xdr:to>
          <xdr:col>2</xdr:col>
          <xdr:colOff>923925</xdr:colOff>
          <xdr:row>4</xdr:row>
          <xdr:rowOff>266700</xdr:rowOff>
        </xdr:to>
        <xdr:sp macro="" textlink="">
          <xdr:nvSpPr>
            <xdr:cNvPr id="112666" name="cmdOut" hidden="1">
              <a:extLst>
                <a:ext uri="{63B3BB69-23CF-44E3-9099-C40C66FF867C}">
                  <a14:compatExt spid="_x0000_s112666"/>
                </a:ext>
                <a:ext uri="{FF2B5EF4-FFF2-40B4-BE49-F238E27FC236}">
                  <a16:creationId xmlns:a16="http://schemas.microsoft.com/office/drawing/2014/main" id="{00000000-0008-0000-0100-00001AB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2181225</xdr:colOff>
          <xdr:row>11</xdr:row>
          <xdr:rowOff>0</xdr:rowOff>
        </xdr:from>
        <xdr:to>
          <xdr:col>9</xdr:col>
          <xdr:colOff>1152525</xdr:colOff>
          <xdr:row>36</xdr:row>
          <xdr:rowOff>152400</xdr:rowOff>
        </xdr:to>
        <xdr:sp macro="" textlink="">
          <xdr:nvSpPr>
            <xdr:cNvPr id="112667" name="AllCommandsRing" hidden="1">
              <a:extLst>
                <a:ext uri="{63B3BB69-23CF-44E3-9099-C40C66FF867C}">
                  <a14:compatExt spid="_x0000_s112667"/>
                </a:ext>
                <a:ext uri="{FF2B5EF4-FFF2-40B4-BE49-F238E27FC236}">
                  <a16:creationId xmlns:a16="http://schemas.microsoft.com/office/drawing/2014/main" id="{00000000-0008-0000-0100-00001BB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1228725</xdr:colOff>
          <xdr:row>10</xdr:row>
          <xdr:rowOff>161925</xdr:rowOff>
        </xdr:from>
        <xdr:to>
          <xdr:col>7</xdr:col>
          <xdr:colOff>609600</xdr:colOff>
          <xdr:row>36</xdr:row>
          <xdr:rowOff>133350</xdr:rowOff>
        </xdr:to>
        <xdr:sp macro="" textlink="">
          <xdr:nvSpPr>
            <xdr:cNvPr id="112668" name="AllCommandsHead" hidden="1">
              <a:extLst>
                <a:ext uri="{63B3BB69-23CF-44E3-9099-C40C66FF867C}">
                  <a14:compatExt spid="_x0000_s112668"/>
                </a:ext>
                <a:ext uri="{FF2B5EF4-FFF2-40B4-BE49-F238E27FC236}">
                  <a16:creationId xmlns:a16="http://schemas.microsoft.com/office/drawing/2014/main" id="{00000000-0008-0000-0100-00001CB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161925</xdr:colOff>
          <xdr:row>14</xdr:row>
          <xdr:rowOff>66675</xdr:rowOff>
        </xdr:from>
        <xdr:to>
          <xdr:col>5</xdr:col>
          <xdr:colOff>1190625</xdr:colOff>
          <xdr:row>16</xdr:row>
          <xdr:rowOff>85725</xdr:rowOff>
        </xdr:to>
        <xdr:sp macro="" textlink="">
          <xdr:nvSpPr>
            <xdr:cNvPr id="112669" name="btnSendBufferHead" hidden="1">
              <a:extLst>
                <a:ext uri="{63B3BB69-23CF-44E3-9099-C40C66FF867C}">
                  <a14:compatExt spid="_x0000_s112669"/>
                </a:ext>
                <a:ext uri="{FF2B5EF4-FFF2-40B4-BE49-F238E27FC236}">
                  <a16:creationId xmlns:a16="http://schemas.microsoft.com/office/drawing/2014/main" id="{00000000-0008-0000-0100-00001DB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1209675</xdr:colOff>
          <xdr:row>11</xdr:row>
          <xdr:rowOff>0</xdr:rowOff>
        </xdr:from>
        <xdr:to>
          <xdr:col>10</xdr:col>
          <xdr:colOff>857250</xdr:colOff>
          <xdr:row>13</xdr:row>
          <xdr:rowOff>171450</xdr:rowOff>
        </xdr:to>
        <xdr:sp macro="" textlink="">
          <xdr:nvSpPr>
            <xdr:cNvPr id="112670" name="btnEraseRING" hidden="1">
              <a:extLst>
                <a:ext uri="{63B3BB69-23CF-44E3-9099-C40C66FF867C}">
                  <a14:compatExt spid="_x0000_s112670"/>
                </a:ext>
                <a:ext uri="{FF2B5EF4-FFF2-40B4-BE49-F238E27FC236}">
                  <a16:creationId xmlns:a16="http://schemas.microsoft.com/office/drawing/2014/main" id="{00000000-0008-0000-0100-00001EB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1209675</xdr:colOff>
          <xdr:row>16</xdr:row>
          <xdr:rowOff>28575</xdr:rowOff>
        </xdr:from>
        <xdr:to>
          <xdr:col>10</xdr:col>
          <xdr:colOff>838200</xdr:colOff>
          <xdr:row>18</xdr:row>
          <xdr:rowOff>47625</xdr:rowOff>
        </xdr:to>
        <xdr:sp macro="" textlink="">
          <xdr:nvSpPr>
            <xdr:cNvPr id="112671" name="btnPlayRing" hidden="1">
              <a:extLst>
                <a:ext uri="{63B3BB69-23CF-44E3-9099-C40C66FF867C}">
                  <a14:compatExt spid="_x0000_s112671"/>
                </a:ext>
                <a:ext uri="{FF2B5EF4-FFF2-40B4-BE49-F238E27FC236}">
                  <a16:creationId xmlns:a16="http://schemas.microsoft.com/office/drawing/2014/main" id="{00000000-0008-0000-0100-00001FB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1190625</xdr:colOff>
          <xdr:row>18</xdr:row>
          <xdr:rowOff>85725</xdr:rowOff>
        </xdr:from>
        <xdr:to>
          <xdr:col>10</xdr:col>
          <xdr:colOff>828675</xdr:colOff>
          <xdr:row>20</xdr:row>
          <xdr:rowOff>104775</xdr:rowOff>
        </xdr:to>
        <xdr:sp macro="" textlink="">
          <xdr:nvSpPr>
            <xdr:cNvPr id="112672" name="cmdStopPlayingRing" hidden="1">
              <a:extLst>
                <a:ext uri="{63B3BB69-23CF-44E3-9099-C40C66FF867C}">
                  <a14:compatExt spid="_x0000_s112672"/>
                </a:ext>
                <a:ext uri="{FF2B5EF4-FFF2-40B4-BE49-F238E27FC236}">
                  <a16:creationId xmlns:a16="http://schemas.microsoft.com/office/drawing/2014/main" id="{00000000-0008-0000-0100-000020B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1200150</xdr:colOff>
          <xdr:row>13</xdr:row>
          <xdr:rowOff>228600</xdr:rowOff>
        </xdr:from>
        <xdr:to>
          <xdr:col>10</xdr:col>
          <xdr:colOff>847725</xdr:colOff>
          <xdr:row>15</xdr:row>
          <xdr:rowOff>247650</xdr:rowOff>
        </xdr:to>
        <xdr:sp macro="" textlink="">
          <xdr:nvSpPr>
            <xdr:cNvPr id="112673" name="btnSendBufferRing" hidden="1">
              <a:extLst>
                <a:ext uri="{63B3BB69-23CF-44E3-9099-C40C66FF867C}">
                  <a14:compatExt spid="_x0000_s112673"/>
                </a:ext>
                <a:ext uri="{FF2B5EF4-FFF2-40B4-BE49-F238E27FC236}">
                  <a16:creationId xmlns:a16="http://schemas.microsoft.com/office/drawing/2014/main" id="{00000000-0008-0000-0100-000021B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47625</xdr:colOff>
          <xdr:row>8</xdr:row>
          <xdr:rowOff>9525</xdr:rowOff>
        </xdr:from>
        <xdr:to>
          <xdr:col>7</xdr:col>
          <xdr:colOff>809625</xdr:colOff>
          <xdr:row>9</xdr:row>
          <xdr:rowOff>114300</xdr:rowOff>
        </xdr:to>
        <xdr:sp macro="" textlink="">
          <xdr:nvSpPr>
            <xdr:cNvPr id="112674" name="btnCopyHEAD" hidden="1">
              <a:extLst>
                <a:ext uri="{63B3BB69-23CF-44E3-9099-C40C66FF867C}">
                  <a14:compatExt spid="_x0000_s112674"/>
                </a:ext>
                <a:ext uri="{FF2B5EF4-FFF2-40B4-BE49-F238E27FC236}">
                  <a16:creationId xmlns:a16="http://schemas.microsoft.com/office/drawing/2014/main" id="{00000000-0008-0000-0100-000022B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628650</xdr:colOff>
          <xdr:row>8</xdr:row>
          <xdr:rowOff>38100</xdr:rowOff>
        </xdr:from>
        <xdr:to>
          <xdr:col>10</xdr:col>
          <xdr:colOff>9525</xdr:colOff>
          <xdr:row>9</xdr:row>
          <xdr:rowOff>142875</xdr:rowOff>
        </xdr:to>
        <xdr:sp macro="" textlink="">
          <xdr:nvSpPr>
            <xdr:cNvPr id="112675" name="btnCopyRing" hidden="1">
              <a:extLst>
                <a:ext uri="{63B3BB69-23CF-44E3-9099-C40C66FF867C}">
                  <a14:compatExt spid="_x0000_s112675"/>
                </a:ext>
                <a:ext uri="{FF2B5EF4-FFF2-40B4-BE49-F238E27FC236}">
                  <a16:creationId xmlns:a16="http://schemas.microsoft.com/office/drawing/2014/main" id="{00000000-0008-0000-0100-000023B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66675</xdr:colOff>
          <xdr:row>9</xdr:row>
          <xdr:rowOff>152400</xdr:rowOff>
        </xdr:from>
        <xdr:to>
          <xdr:col>7</xdr:col>
          <xdr:colOff>895350</xdr:colOff>
          <xdr:row>10</xdr:row>
          <xdr:rowOff>152400</xdr:rowOff>
        </xdr:to>
        <xdr:sp macro="" textlink="">
          <xdr:nvSpPr>
            <xdr:cNvPr id="112676" name="cbAutoHEAD" hidden="1">
              <a:extLst>
                <a:ext uri="{63B3BB69-23CF-44E3-9099-C40C66FF867C}">
                  <a14:compatExt spid="_x0000_s112676"/>
                </a:ext>
                <a:ext uri="{FF2B5EF4-FFF2-40B4-BE49-F238E27FC236}">
                  <a16:creationId xmlns:a16="http://schemas.microsoft.com/office/drawing/2014/main" id="{00000000-0008-0000-0100-000024B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647700</xdr:colOff>
          <xdr:row>9</xdr:row>
          <xdr:rowOff>171450</xdr:rowOff>
        </xdr:from>
        <xdr:to>
          <xdr:col>10</xdr:col>
          <xdr:colOff>95250</xdr:colOff>
          <xdr:row>10</xdr:row>
          <xdr:rowOff>171450</xdr:rowOff>
        </xdr:to>
        <xdr:sp macro="" textlink="">
          <xdr:nvSpPr>
            <xdr:cNvPr id="112677" name="CheckBox1" hidden="1">
              <a:extLst>
                <a:ext uri="{63B3BB69-23CF-44E3-9099-C40C66FF867C}">
                  <a14:compatExt spid="_x0000_s112677"/>
                </a:ext>
                <a:ext uri="{FF2B5EF4-FFF2-40B4-BE49-F238E27FC236}">
                  <a16:creationId xmlns:a16="http://schemas.microsoft.com/office/drawing/2014/main" id="{00000000-0008-0000-0100-000025B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619125</xdr:colOff>
          <xdr:row>21</xdr:row>
          <xdr:rowOff>209550</xdr:rowOff>
        </xdr:from>
        <xdr:to>
          <xdr:col>2</xdr:col>
          <xdr:colOff>209550</xdr:colOff>
          <xdr:row>24</xdr:row>
          <xdr:rowOff>19050</xdr:rowOff>
        </xdr:to>
        <xdr:sp macro="" textlink="">
          <xdr:nvSpPr>
            <xdr:cNvPr id="112679" name="btnMiscRingMQTT" hidden="1">
              <a:extLst>
                <a:ext uri="{63B3BB69-23CF-44E3-9099-C40C66FF867C}">
                  <a14:compatExt spid="_x0000_s112679"/>
                </a:ext>
                <a:ext uri="{FF2B5EF4-FFF2-40B4-BE49-F238E27FC236}">
                  <a16:creationId xmlns:a16="http://schemas.microsoft.com/office/drawing/2014/main" id="{00000000-0008-0000-0100-000027B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219075</xdr:colOff>
          <xdr:row>39</xdr:row>
          <xdr:rowOff>171450</xdr:rowOff>
        </xdr:from>
        <xdr:to>
          <xdr:col>2</xdr:col>
          <xdr:colOff>495300</xdr:colOff>
          <xdr:row>43</xdr:row>
          <xdr:rowOff>28575</xdr:rowOff>
        </xdr:to>
        <xdr:sp macro="" textlink="">
          <xdr:nvSpPr>
            <xdr:cNvPr id="112680" name="CommandButton2" hidden="1">
              <a:extLst>
                <a:ext uri="{63B3BB69-23CF-44E3-9099-C40C66FF867C}">
                  <a14:compatExt spid="_x0000_s112680"/>
                </a:ext>
                <a:ext uri="{FF2B5EF4-FFF2-40B4-BE49-F238E27FC236}">
                  <a16:creationId xmlns:a16="http://schemas.microsoft.com/office/drawing/2014/main" id="{00000000-0008-0000-0100-000028B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619125</xdr:colOff>
          <xdr:row>24</xdr:row>
          <xdr:rowOff>95250</xdr:rowOff>
        </xdr:from>
        <xdr:to>
          <xdr:col>2</xdr:col>
          <xdr:colOff>209550</xdr:colOff>
          <xdr:row>26</xdr:row>
          <xdr:rowOff>161925</xdr:rowOff>
        </xdr:to>
        <xdr:sp macro="" textlink="">
          <xdr:nvSpPr>
            <xdr:cNvPr id="112681" name="btnMiscHeadMQTT" hidden="1">
              <a:extLst>
                <a:ext uri="{63B3BB69-23CF-44E3-9099-C40C66FF867C}">
                  <a14:compatExt spid="_x0000_s112681"/>
                </a:ext>
                <a:ext uri="{FF2B5EF4-FFF2-40B4-BE49-F238E27FC236}">
                  <a16:creationId xmlns:a16="http://schemas.microsoft.com/office/drawing/2014/main" id="{00000000-0008-0000-0100-000029B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1000125</xdr:colOff>
          <xdr:row>32</xdr:row>
          <xdr:rowOff>57150</xdr:rowOff>
        </xdr:from>
        <xdr:to>
          <xdr:col>4</xdr:col>
          <xdr:colOff>352425</xdr:colOff>
          <xdr:row>33</xdr:row>
          <xdr:rowOff>104775</xdr:rowOff>
        </xdr:to>
        <xdr:sp macro="" textlink="">
          <xdr:nvSpPr>
            <xdr:cNvPr id="112682" name="ActivateHead" hidden="1">
              <a:extLst>
                <a:ext uri="{63B3BB69-23CF-44E3-9099-C40C66FF867C}">
                  <a14:compatExt spid="_x0000_s112682"/>
                </a:ext>
                <a:ext uri="{FF2B5EF4-FFF2-40B4-BE49-F238E27FC236}">
                  <a16:creationId xmlns:a16="http://schemas.microsoft.com/office/drawing/2014/main" id="{00000000-0008-0000-0100-00002AB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514350</xdr:colOff>
          <xdr:row>32</xdr:row>
          <xdr:rowOff>66675</xdr:rowOff>
        </xdr:from>
        <xdr:to>
          <xdr:col>2</xdr:col>
          <xdr:colOff>561975</xdr:colOff>
          <xdr:row>33</xdr:row>
          <xdr:rowOff>114300</xdr:rowOff>
        </xdr:to>
        <xdr:sp macro="" textlink="">
          <xdr:nvSpPr>
            <xdr:cNvPr id="112683" name="SleepHead" hidden="1">
              <a:extLst>
                <a:ext uri="{63B3BB69-23CF-44E3-9099-C40C66FF867C}">
                  <a14:compatExt spid="_x0000_s112683"/>
                </a:ext>
                <a:ext uri="{FF2B5EF4-FFF2-40B4-BE49-F238E27FC236}">
                  <a16:creationId xmlns:a16="http://schemas.microsoft.com/office/drawing/2014/main" id="{00000000-0008-0000-0100-00002BB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504825</xdr:colOff>
          <xdr:row>30</xdr:row>
          <xdr:rowOff>152400</xdr:rowOff>
        </xdr:from>
        <xdr:to>
          <xdr:col>4</xdr:col>
          <xdr:colOff>352425</xdr:colOff>
          <xdr:row>31</xdr:row>
          <xdr:rowOff>161925</xdr:rowOff>
        </xdr:to>
        <xdr:sp macro="" textlink="">
          <xdr:nvSpPr>
            <xdr:cNvPr id="112684" name="ComboBox1" hidden="1">
              <a:extLst>
                <a:ext uri="{63B3BB69-23CF-44E3-9099-C40C66FF867C}">
                  <a14:compatExt spid="_x0000_s112684"/>
                </a:ext>
                <a:ext uri="{FF2B5EF4-FFF2-40B4-BE49-F238E27FC236}">
                  <a16:creationId xmlns:a16="http://schemas.microsoft.com/office/drawing/2014/main" id="{00000000-0008-0000-0100-00002CB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twoCellAnchor>
    <xdr:from>
      <xdr:col>7</xdr:col>
      <xdr:colOff>184150</xdr:colOff>
      <xdr:row>5</xdr:row>
      <xdr:rowOff>111125</xdr:rowOff>
    </xdr:from>
    <xdr:to>
      <xdr:col>7</xdr:col>
      <xdr:colOff>374650</xdr:colOff>
      <xdr:row>5</xdr:row>
      <xdr:rowOff>301625</xdr:rowOff>
    </xdr:to>
    <xdr:sp macro="SetRing" textlink="">
      <xdr:nvSpPr>
        <xdr:cNvPr id="113844" name="DalekRing01">
          <a:extLst>
            <a:ext uri="{FF2B5EF4-FFF2-40B4-BE49-F238E27FC236}">
              <a16:creationId xmlns:a16="http://schemas.microsoft.com/office/drawing/2014/main" id="{A6E51D46-42A6-6C5C-18C3-22A1982F14DD}"/>
            </a:ext>
          </a:extLst>
        </xdr:cNvPr>
        <xdr:cNvSpPr/>
      </xdr:nvSpPr>
      <xdr:spPr>
        <a:xfrm>
          <a:off x="7213600" y="2159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7</xdr:col>
      <xdr:colOff>488950</xdr:colOff>
      <xdr:row>5</xdr:row>
      <xdr:rowOff>111125</xdr:rowOff>
    </xdr:from>
    <xdr:to>
      <xdr:col>7</xdr:col>
      <xdr:colOff>679450</xdr:colOff>
      <xdr:row>5</xdr:row>
      <xdr:rowOff>301625</xdr:rowOff>
    </xdr:to>
    <xdr:sp macro="SetRing" textlink="">
      <xdr:nvSpPr>
        <xdr:cNvPr id="113845" name="DalekRing02">
          <a:extLst>
            <a:ext uri="{FF2B5EF4-FFF2-40B4-BE49-F238E27FC236}">
              <a16:creationId xmlns:a16="http://schemas.microsoft.com/office/drawing/2014/main" id="{5FA532DD-7B0B-8971-AC65-13830D87D89F}"/>
            </a:ext>
          </a:extLst>
        </xdr:cNvPr>
        <xdr:cNvSpPr/>
      </xdr:nvSpPr>
      <xdr:spPr>
        <a:xfrm>
          <a:off x="7518400" y="2159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7</xdr:col>
      <xdr:colOff>819150</xdr:colOff>
      <xdr:row>5</xdr:row>
      <xdr:rowOff>111125</xdr:rowOff>
    </xdr:from>
    <xdr:to>
      <xdr:col>7</xdr:col>
      <xdr:colOff>1009650</xdr:colOff>
      <xdr:row>5</xdr:row>
      <xdr:rowOff>301625</xdr:rowOff>
    </xdr:to>
    <xdr:sp macro="SetRing" textlink="">
      <xdr:nvSpPr>
        <xdr:cNvPr id="113846" name="DalekRing03">
          <a:extLst>
            <a:ext uri="{FF2B5EF4-FFF2-40B4-BE49-F238E27FC236}">
              <a16:creationId xmlns:a16="http://schemas.microsoft.com/office/drawing/2014/main" id="{70F23E45-1E33-C41D-4DD9-FB4D042D0A5B}"/>
            </a:ext>
          </a:extLst>
        </xdr:cNvPr>
        <xdr:cNvSpPr/>
      </xdr:nvSpPr>
      <xdr:spPr>
        <a:xfrm>
          <a:off x="7848600" y="2159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7</xdr:col>
      <xdr:colOff>1123950</xdr:colOff>
      <xdr:row>5</xdr:row>
      <xdr:rowOff>111125</xdr:rowOff>
    </xdr:from>
    <xdr:to>
      <xdr:col>7</xdr:col>
      <xdr:colOff>1314450</xdr:colOff>
      <xdr:row>5</xdr:row>
      <xdr:rowOff>301625</xdr:rowOff>
    </xdr:to>
    <xdr:sp macro="SetRing" textlink="">
      <xdr:nvSpPr>
        <xdr:cNvPr id="113847" name="DalekRing04">
          <a:extLst>
            <a:ext uri="{FF2B5EF4-FFF2-40B4-BE49-F238E27FC236}">
              <a16:creationId xmlns:a16="http://schemas.microsoft.com/office/drawing/2014/main" id="{95D8C679-92E6-0831-C493-E7D876751AE9}"/>
            </a:ext>
          </a:extLst>
        </xdr:cNvPr>
        <xdr:cNvSpPr/>
      </xdr:nvSpPr>
      <xdr:spPr>
        <a:xfrm>
          <a:off x="8153400" y="2159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7</xdr:col>
      <xdr:colOff>1454150</xdr:colOff>
      <xdr:row>5</xdr:row>
      <xdr:rowOff>111125</xdr:rowOff>
    </xdr:from>
    <xdr:to>
      <xdr:col>7</xdr:col>
      <xdr:colOff>1644650</xdr:colOff>
      <xdr:row>5</xdr:row>
      <xdr:rowOff>301625</xdr:rowOff>
    </xdr:to>
    <xdr:sp macro="SetRing" textlink="">
      <xdr:nvSpPr>
        <xdr:cNvPr id="113848" name="DalekRing05">
          <a:extLst>
            <a:ext uri="{FF2B5EF4-FFF2-40B4-BE49-F238E27FC236}">
              <a16:creationId xmlns:a16="http://schemas.microsoft.com/office/drawing/2014/main" id="{2B5C448F-37A1-929D-0C4A-E5D7623F4D4A}"/>
            </a:ext>
          </a:extLst>
        </xdr:cNvPr>
        <xdr:cNvSpPr/>
      </xdr:nvSpPr>
      <xdr:spPr>
        <a:xfrm>
          <a:off x="8483600" y="2159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7</xdr:col>
      <xdr:colOff>1758950</xdr:colOff>
      <xdr:row>5</xdr:row>
      <xdr:rowOff>111125</xdr:rowOff>
    </xdr:from>
    <xdr:to>
      <xdr:col>7</xdr:col>
      <xdr:colOff>1949450</xdr:colOff>
      <xdr:row>5</xdr:row>
      <xdr:rowOff>301625</xdr:rowOff>
    </xdr:to>
    <xdr:sp macro="SetRing" textlink="">
      <xdr:nvSpPr>
        <xdr:cNvPr id="113849" name="DalekRing06">
          <a:extLst>
            <a:ext uri="{FF2B5EF4-FFF2-40B4-BE49-F238E27FC236}">
              <a16:creationId xmlns:a16="http://schemas.microsoft.com/office/drawing/2014/main" id="{69CBA437-A3B1-DDCD-1D2F-F56827A9437B}"/>
            </a:ext>
          </a:extLst>
        </xdr:cNvPr>
        <xdr:cNvSpPr/>
      </xdr:nvSpPr>
      <xdr:spPr>
        <a:xfrm>
          <a:off x="8788400" y="2159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8</xdr:col>
      <xdr:colOff>117475</xdr:colOff>
      <xdr:row>5</xdr:row>
      <xdr:rowOff>111125</xdr:rowOff>
    </xdr:from>
    <xdr:to>
      <xdr:col>8</xdr:col>
      <xdr:colOff>307975</xdr:colOff>
      <xdr:row>5</xdr:row>
      <xdr:rowOff>301625</xdr:rowOff>
    </xdr:to>
    <xdr:sp macro="SetRing" textlink="">
      <xdr:nvSpPr>
        <xdr:cNvPr id="113850" name="DalekRing07">
          <a:extLst>
            <a:ext uri="{FF2B5EF4-FFF2-40B4-BE49-F238E27FC236}">
              <a16:creationId xmlns:a16="http://schemas.microsoft.com/office/drawing/2014/main" id="{2A0C0648-A231-9208-87B6-CBD9109D1D8E}"/>
            </a:ext>
          </a:extLst>
        </xdr:cNvPr>
        <xdr:cNvSpPr/>
      </xdr:nvSpPr>
      <xdr:spPr>
        <a:xfrm>
          <a:off x="9118600" y="2159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8</xdr:col>
      <xdr:colOff>422275</xdr:colOff>
      <xdr:row>5</xdr:row>
      <xdr:rowOff>111125</xdr:rowOff>
    </xdr:from>
    <xdr:to>
      <xdr:col>8</xdr:col>
      <xdr:colOff>612775</xdr:colOff>
      <xdr:row>5</xdr:row>
      <xdr:rowOff>301625</xdr:rowOff>
    </xdr:to>
    <xdr:sp macro="SetRing" textlink="">
      <xdr:nvSpPr>
        <xdr:cNvPr id="113851" name="DalekRing08">
          <a:extLst>
            <a:ext uri="{FF2B5EF4-FFF2-40B4-BE49-F238E27FC236}">
              <a16:creationId xmlns:a16="http://schemas.microsoft.com/office/drawing/2014/main" id="{BC5A6E50-E70B-BA3A-B7AE-9AB8DB8F963A}"/>
            </a:ext>
          </a:extLst>
        </xdr:cNvPr>
        <xdr:cNvSpPr/>
      </xdr:nvSpPr>
      <xdr:spPr>
        <a:xfrm>
          <a:off x="9423400" y="2159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8</xdr:col>
      <xdr:colOff>752475</xdr:colOff>
      <xdr:row>5</xdr:row>
      <xdr:rowOff>111125</xdr:rowOff>
    </xdr:from>
    <xdr:to>
      <xdr:col>8</xdr:col>
      <xdr:colOff>942975</xdr:colOff>
      <xdr:row>5</xdr:row>
      <xdr:rowOff>301625</xdr:rowOff>
    </xdr:to>
    <xdr:sp macro="SetRing" textlink="">
      <xdr:nvSpPr>
        <xdr:cNvPr id="113852" name="DalekRing09">
          <a:extLst>
            <a:ext uri="{FF2B5EF4-FFF2-40B4-BE49-F238E27FC236}">
              <a16:creationId xmlns:a16="http://schemas.microsoft.com/office/drawing/2014/main" id="{7B1D7A85-5770-1733-AAB4-768EA251068C}"/>
            </a:ext>
          </a:extLst>
        </xdr:cNvPr>
        <xdr:cNvSpPr/>
      </xdr:nvSpPr>
      <xdr:spPr>
        <a:xfrm>
          <a:off x="9753600" y="2159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8</xdr:col>
      <xdr:colOff>1057275</xdr:colOff>
      <xdr:row>5</xdr:row>
      <xdr:rowOff>111125</xdr:rowOff>
    </xdr:from>
    <xdr:to>
      <xdr:col>8</xdr:col>
      <xdr:colOff>1247775</xdr:colOff>
      <xdr:row>5</xdr:row>
      <xdr:rowOff>301625</xdr:rowOff>
    </xdr:to>
    <xdr:sp macro="SetRing" textlink="">
      <xdr:nvSpPr>
        <xdr:cNvPr id="113853" name="DalekRing10">
          <a:extLst>
            <a:ext uri="{FF2B5EF4-FFF2-40B4-BE49-F238E27FC236}">
              <a16:creationId xmlns:a16="http://schemas.microsoft.com/office/drawing/2014/main" id="{0E63E417-499C-3FCF-7E2F-68B2D27C4B27}"/>
            </a:ext>
          </a:extLst>
        </xdr:cNvPr>
        <xdr:cNvSpPr/>
      </xdr:nvSpPr>
      <xdr:spPr>
        <a:xfrm>
          <a:off x="10058400" y="2159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8</xdr:col>
      <xdr:colOff>1387475</xdr:colOff>
      <xdr:row>5</xdr:row>
      <xdr:rowOff>111125</xdr:rowOff>
    </xdr:from>
    <xdr:to>
      <xdr:col>8</xdr:col>
      <xdr:colOff>1577975</xdr:colOff>
      <xdr:row>5</xdr:row>
      <xdr:rowOff>301625</xdr:rowOff>
    </xdr:to>
    <xdr:sp macro="SetRing" textlink="">
      <xdr:nvSpPr>
        <xdr:cNvPr id="113854" name="DalekRing11">
          <a:extLst>
            <a:ext uri="{FF2B5EF4-FFF2-40B4-BE49-F238E27FC236}">
              <a16:creationId xmlns:a16="http://schemas.microsoft.com/office/drawing/2014/main" id="{7DCA886E-C140-9070-04AC-F6B7C4E3BC4F}"/>
            </a:ext>
          </a:extLst>
        </xdr:cNvPr>
        <xdr:cNvSpPr/>
      </xdr:nvSpPr>
      <xdr:spPr>
        <a:xfrm>
          <a:off x="10388600" y="2159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9</xdr:col>
      <xdr:colOff>34925</xdr:colOff>
      <xdr:row>5</xdr:row>
      <xdr:rowOff>111125</xdr:rowOff>
    </xdr:from>
    <xdr:to>
      <xdr:col>9</xdr:col>
      <xdr:colOff>225425</xdr:colOff>
      <xdr:row>5</xdr:row>
      <xdr:rowOff>301625</xdr:rowOff>
    </xdr:to>
    <xdr:sp macro="SetRing" textlink="">
      <xdr:nvSpPr>
        <xdr:cNvPr id="113855" name="DalekRing12">
          <a:extLst>
            <a:ext uri="{FF2B5EF4-FFF2-40B4-BE49-F238E27FC236}">
              <a16:creationId xmlns:a16="http://schemas.microsoft.com/office/drawing/2014/main" id="{48F4032E-7150-99CB-90FD-523923134EC6}"/>
            </a:ext>
          </a:extLst>
        </xdr:cNvPr>
        <xdr:cNvSpPr/>
      </xdr:nvSpPr>
      <xdr:spPr>
        <a:xfrm>
          <a:off x="10693400" y="2159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1</xdr:col>
      <xdr:colOff>1066800</xdr:colOff>
      <xdr:row>5</xdr:row>
      <xdr:rowOff>111125</xdr:rowOff>
    </xdr:from>
    <xdr:to>
      <xdr:col>2</xdr:col>
      <xdr:colOff>104775</xdr:colOff>
      <xdr:row>5</xdr:row>
      <xdr:rowOff>301625</xdr:rowOff>
    </xdr:to>
    <xdr:sp macro="SetRing" textlink="">
      <xdr:nvSpPr>
        <xdr:cNvPr id="113856" name="DalekRing13">
          <a:extLst>
            <a:ext uri="{FF2B5EF4-FFF2-40B4-BE49-F238E27FC236}">
              <a16:creationId xmlns:a16="http://schemas.microsoft.com/office/drawing/2014/main" id="{C80ED0A0-2400-3F3A-B67F-98A54F2EF8FD}"/>
            </a:ext>
          </a:extLst>
        </xdr:cNvPr>
        <xdr:cNvSpPr/>
      </xdr:nvSpPr>
      <xdr:spPr>
        <a:xfrm>
          <a:off x="1752600" y="2159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2</xdr:col>
      <xdr:colOff>219075</xdr:colOff>
      <xdr:row>5</xdr:row>
      <xdr:rowOff>111125</xdr:rowOff>
    </xdr:from>
    <xdr:to>
      <xdr:col>2</xdr:col>
      <xdr:colOff>409575</xdr:colOff>
      <xdr:row>5</xdr:row>
      <xdr:rowOff>301625</xdr:rowOff>
    </xdr:to>
    <xdr:sp macro="SetRing" textlink="">
      <xdr:nvSpPr>
        <xdr:cNvPr id="113857" name="DalekRing14">
          <a:extLst>
            <a:ext uri="{FF2B5EF4-FFF2-40B4-BE49-F238E27FC236}">
              <a16:creationId xmlns:a16="http://schemas.microsoft.com/office/drawing/2014/main" id="{DEAF53F0-29D3-7434-8791-31D748ACCD46}"/>
            </a:ext>
          </a:extLst>
        </xdr:cNvPr>
        <xdr:cNvSpPr/>
      </xdr:nvSpPr>
      <xdr:spPr>
        <a:xfrm>
          <a:off x="2057400" y="2159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2</xdr:col>
      <xdr:colOff>549275</xdr:colOff>
      <xdr:row>5</xdr:row>
      <xdr:rowOff>111125</xdr:rowOff>
    </xdr:from>
    <xdr:to>
      <xdr:col>2</xdr:col>
      <xdr:colOff>739775</xdr:colOff>
      <xdr:row>5</xdr:row>
      <xdr:rowOff>301625</xdr:rowOff>
    </xdr:to>
    <xdr:sp macro="SetRing" textlink="">
      <xdr:nvSpPr>
        <xdr:cNvPr id="113858" name="DalekRing15">
          <a:extLst>
            <a:ext uri="{FF2B5EF4-FFF2-40B4-BE49-F238E27FC236}">
              <a16:creationId xmlns:a16="http://schemas.microsoft.com/office/drawing/2014/main" id="{9FEF8618-3C7A-705A-E574-9538507A7D45}"/>
            </a:ext>
          </a:extLst>
        </xdr:cNvPr>
        <xdr:cNvSpPr/>
      </xdr:nvSpPr>
      <xdr:spPr>
        <a:xfrm>
          <a:off x="2387600" y="2159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2</xdr:col>
      <xdr:colOff>854075</xdr:colOff>
      <xdr:row>5</xdr:row>
      <xdr:rowOff>111125</xdr:rowOff>
    </xdr:from>
    <xdr:to>
      <xdr:col>2</xdr:col>
      <xdr:colOff>1044575</xdr:colOff>
      <xdr:row>5</xdr:row>
      <xdr:rowOff>301625</xdr:rowOff>
    </xdr:to>
    <xdr:sp macro="SetRing" textlink="">
      <xdr:nvSpPr>
        <xdr:cNvPr id="113859" name="DalekRing16">
          <a:extLst>
            <a:ext uri="{FF2B5EF4-FFF2-40B4-BE49-F238E27FC236}">
              <a16:creationId xmlns:a16="http://schemas.microsoft.com/office/drawing/2014/main" id="{684E9CFA-67DB-B21F-75BD-EB04B8E3BD72}"/>
            </a:ext>
          </a:extLst>
        </xdr:cNvPr>
        <xdr:cNvSpPr/>
      </xdr:nvSpPr>
      <xdr:spPr>
        <a:xfrm>
          <a:off x="2692400" y="2159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2</xdr:col>
      <xdr:colOff>1184275</xdr:colOff>
      <xdr:row>5</xdr:row>
      <xdr:rowOff>111125</xdr:rowOff>
    </xdr:from>
    <xdr:to>
      <xdr:col>2</xdr:col>
      <xdr:colOff>1374775</xdr:colOff>
      <xdr:row>5</xdr:row>
      <xdr:rowOff>301625</xdr:rowOff>
    </xdr:to>
    <xdr:sp macro="SetRing" textlink="">
      <xdr:nvSpPr>
        <xdr:cNvPr id="113860" name="DalekRing17">
          <a:extLst>
            <a:ext uri="{FF2B5EF4-FFF2-40B4-BE49-F238E27FC236}">
              <a16:creationId xmlns:a16="http://schemas.microsoft.com/office/drawing/2014/main" id="{ED1FA26B-B757-2D41-1FC5-B6EE3782DA69}"/>
            </a:ext>
          </a:extLst>
        </xdr:cNvPr>
        <xdr:cNvSpPr/>
      </xdr:nvSpPr>
      <xdr:spPr>
        <a:xfrm>
          <a:off x="3022600" y="2159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3</xdr:col>
      <xdr:colOff>69850</xdr:colOff>
      <xdr:row>5</xdr:row>
      <xdr:rowOff>111125</xdr:rowOff>
    </xdr:from>
    <xdr:to>
      <xdr:col>3</xdr:col>
      <xdr:colOff>260350</xdr:colOff>
      <xdr:row>5</xdr:row>
      <xdr:rowOff>301625</xdr:rowOff>
    </xdr:to>
    <xdr:sp macro="SetRing" textlink="">
      <xdr:nvSpPr>
        <xdr:cNvPr id="113861" name="DalekRing18">
          <a:extLst>
            <a:ext uri="{FF2B5EF4-FFF2-40B4-BE49-F238E27FC236}">
              <a16:creationId xmlns:a16="http://schemas.microsoft.com/office/drawing/2014/main" id="{48B92317-105E-F5E4-BA0F-36C4F8B3C365}"/>
            </a:ext>
          </a:extLst>
        </xdr:cNvPr>
        <xdr:cNvSpPr/>
      </xdr:nvSpPr>
      <xdr:spPr>
        <a:xfrm>
          <a:off x="3327400" y="2159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3</xdr:col>
      <xdr:colOff>400050</xdr:colOff>
      <xdr:row>5</xdr:row>
      <xdr:rowOff>111125</xdr:rowOff>
    </xdr:from>
    <xdr:to>
      <xdr:col>4</xdr:col>
      <xdr:colOff>161925</xdr:colOff>
      <xdr:row>5</xdr:row>
      <xdr:rowOff>301625</xdr:rowOff>
    </xdr:to>
    <xdr:sp macro="SetRing" textlink="">
      <xdr:nvSpPr>
        <xdr:cNvPr id="113862" name="DalekRing19">
          <a:extLst>
            <a:ext uri="{FF2B5EF4-FFF2-40B4-BE49-F238E27FC236}">
              <a16:creationId xmlns:a16="http://schemas.microsoft.com/office/drawing/2014/main" id="{9FA060E0-2425-B621-30C9-3A692BAF8ECD}"/>
            </a:ext>
          </a:extLst>
        </xdr:cNvPr>
        <xdr:cNvSpPr/>
      </xdr:nvSpPr>
      <xdr:spPr>
        <a:xfrm>
          <a:off x="3657600" y="2159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4</xdr:col>
      <xdr:colOff>276225</xdr:colOff>
      <xdr:row>5</xdr:row>
      <xdr:rowOff>111125</xdr:rowOff>
    </xdr:from>
    <xdr:to>
      <xdr:col>4</xdr:col>
      <xdr:colOff>466725</xdr:colOff>
      <xdr:row>5</xdr:row>
      <xdr:rowOff>301625</xdr:rowOff>
    </xdr:to>
    <xdr:sp macro="SetRing" textlink="">
      <xdr:nvSpPr>
        <xdr:cNvPr id="113863" name="DalekRing20">
          <a:extLst>
            <a:ext uri="{FF2B5EF4-FFF2-40B4-BE49-F238E27FC236}">
              <a16:creationId xmlns:a16="http://schemas.microsoft.com/office/drawing/2014/main" id="{437A0CE4-85D6-6E2D-7FD6-85A8D11B487F}"/>
            </a:ext>
          </a:extLst>
        </xdr:cNvPr>
        <xdr:cNvSpPr/>
      </xdr:nvSpPr>
      <xdr:spPr>
        <a:xfrm>
          <a:off x="3962400" y="2159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4</xdr:col>
      <xdr:colOff>606425</xdr:colOff>
      <xdr:row>5</xdr:row>
      <xdr:rowOff>111125</xdr:rowOff>
    </xdr:from>
    <xdr:to>
      <xdr:col>5</xdr:col>
      <xdr:colOff>111125</xdr:colOff>
      <xdr:row>5</xdr:row>
      <xdr:rowOff>301625</xdr:rowOff>
    </xdr:to>
    <xdr:sp macro="SetRing" textlink="">
      <xdr:nvSpPr>
        <xdr:cNvPr id="113864" name="DalekRing21">
          <a:extLst>
            <a:ext uri="{FF2B5EF4-FFF2-40B4-BE49-F238E27FC236}">
              <a16:creationId xmlns:a16="http://schemas.microsoft.com/office/drawing/2014/main" id="{ACA5CB64-BA81-8C46-CC2D-C5621093134F}"/>
            </a:ext>
          </a:extLst>
        </xdr:cNvPr>
        <xdr:cNvSpPr/>
      </xdr:nvSpPr>
      <xdr:spPr>
        <a:xfrm>
          <a:off x="4292600" y="2159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5</xdr:col>
      <xdr:colOff>225425</xdr:colOff>
      <xdr:row>5</xdr:row>
      <xdr:rowOff>111125</xdr:rowOff>
    </xdr:from>
    <xdr:to>
      <xdr:col>5</xdr:col>
      <xdr:colOff>415925</xdr:colOff>
      <xdr:row>5</xdr:row>
      <xdr:rowOff>301625</xdr:rowOff>
    </xdr:to>
    <xdr:sp macro="SetRing" textlink="">
      <xdr:nvSpPr>
        <xdr:cNvPr id="113865" name="DalekRing22">
          <a:extLst>
            <a:ext uri="{FF2B5EF4-FFF2-40B4-BE49-F238E27FC236}">
              <a16:creationId xmlns:a16="http://schemas.microsoft.com/office/drawing/2014/main" id="{DD62CEA3-8322-5658-315B-4FE5800C690C}"/>
            </a:ext>
          </a:extLst>
        </xdr:cNvPr>
        <xdr:cNvSpPr/>
      </xdr:nvSpPr>
      <xdr:spPr>
        <a:xfrm>
          <a:off x="4597400" y="2159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5</xdr:col>
      <xdr:colOff>555625</xdr:colOff>
      <xdr:row>5</xdr:row>
      <xdr:rowOff>111125</xdr:rowOff>
    </xdr:from>
    <xdr:to>
      <xdr:col>5</xdr:col>
      <xdr:colOff>746125</xdr:colOff>
      <xdr:row>5</xdr:row>
      <xdr:rowOff>301625</xdr:rowOff>
    </xdr:to>
    <xdr:sp macro="SetRing" textlink="">
      <xdr:nvSpPr>
        <xdr:cNvPr id="113866" name="DalekRing23">
          <a:extLst>
            <a:ext uri="{FF2B5EF4-FFF2-40B4-BE49-F238E27FC236}">
              <a16:creationId xmlns:a16="http://schemas.microsoft.com/office/drawing/2014/main" id="{D2BAB2AD-8F5F-81ED-A481-28A8974719A8}"/>
            </a:ext>
          </a:extLst>
        </xdr:cNvPr>
        <xdr:cNvSpPr/>
      </xdr:nvSpPr>
      <xdr:spPr>
        <a:xfrm>
          <a:off x="4927600" y="2159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5</xdr:col>
      <xdr:colOff>860425</xdr:colOff>
      <xdr:row>5</xdr:row>
      <xdr:rowOff>111125</xdr:rowOff>
    </xdr:from>
    <xdr:to>
      <xdr:col>5</xdr:col>
      <xdr:colOff>1050925</xdr:colOff>
      <xdr:row>5</xdr:row>
      <xdr:rowOff>301625</xdr:rowOff>
    </xdr:to>
    <xdr:sp macro="SetRing" textlink="">
      <xdr:nvSpPr>
        <xdr:cNvPr id="113867" name="DalekRing24">
          <a:extLst>
            <a:ext uri="{FF2B5EF4-FFF2-40B4-BE49-F238E27FC236}">
              <a16:creationId xmlns:a16="http://schemas.microsoft.com/office/drawing/2014/main" id="{CEBE299F-03F6-0062-597E-C65E827550A0}"/>
            </a:ext>
          </a:extLst>
        </xdr:cNvPr>
        <xdr:cNvSpPr/>
      </xdr:nvSpPr>
      <xdr:spPr>
        <a:xfrm>
          <a:off x="5232400" y="2159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1</xdr:col>
      <xdr:colOff>901700</xdr:colOff>
      <xdr:row>1</xdr:row>
      <xdr:rowOff>114300</xdr:rowOff>
    </xdr:from>
    <xdr:to>
      <xdr:col>1</xdr:col>
      <xdr:colOff>1092200</xdr:colOff>
      <xdr:row>1</xdr:row>
      <xdr:rowOff>304800</xdr:rowOff>
    </xdr:to>
    <xdr:sp macro="SetFillRing" textlink="">
      <xdr:nvSpPr>
        <xdr:cNvPr id="113868" name="DalekFillRing0">
          <a:extLst>
            <a:ext uri="{FF2B5EF4-FFF2-40B4-BE49-F238E27FC236}">
              <a16:creationId xmlns:a16="http://schemas.microsoft.com/office/drawing/2014/main" id="{7EB87BAB-9348-A604-81DD-739B60EA669C}"/>
            </a:ext>
          </a:extLst>
        </xdr:cNvPr>
        <xdr:cNvSpPr/>
      </xdr:nvSpPr>
      <xdr:spPr>
        <a:xfrm>
          <a:off x="1587500" y="381000"/>
          <a:ext cx="190500" cy="190500"/>
        </a:xfrm>
        <a:prstGeom prst="ellipse">
          <a:avLst/>
        </a:prstGeom>
        <a:pattFill prst="pct25">
          <a:fgClr>
            <a:srgbClr val="646464"/>
          </a:fgClr>
          <a:bgClr>
            <a:srgbClr val="000000"/>
          </a:bgClr>
        </a:patt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2</xdr:col>
      <xdr:colOff>66675</xdr:colOff>
      <xdr:row>1</xdr:row>
      <xdr:rowOff>114300</xdr:rowOff>
    </xdr:from>
    <xdr:to>
      <xdr:col>2</xdr:col>
      <xdr:colOff>257175</xdr:colOff>
      <xdr:row>1</xdr:row>
      <xdr:rowOff>304800</xdr:rowOff>
    </xdr:to>
    <xdr:sp macro="SetFillRing" textlink="">
      <xdr:nvSpPr>
        <xdr:cNvPr id="113869" name="DalekFillRing1">
          <a:extLst>
            <a:ext uri="{FF2B5EF4-FFF2-40B4-BE49-F238E27FC236}">
              <a16:creationId xmlns:a16="http://schemas.microsoft.com/office/drawing/2014/main" id="{3BBC9781-22A8-5CB5-9D18-241353FF7D74}"/>
            </a:ext>
          </a:extLst>
        </xdr:cNvPr>
        <xdr:cNvSpPr/>
      </xdr:nvSpPr>
      <xdr:spPr>
        <a:xfrm>
          <a:off x="1905000" y="381000"/>
          <a:ext cx="190500" cy="190500"/>
        </a:xfrm>
        <a:prstGeom prst="ellipse">
          <a:avLst/>
        </a:prstGeom>
        <a:pattFill prst="pct25">
          <a:fgClr>
            <a:srgbClr val="3232FF"/>
          </a:fgClr>
          <a:bgClr>
            <a:srgbClr val="000000"/>
          </a:bgClr>
        </a:patt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2</xdr:col>
      <xdr:colOff>384175</xdr:colOff>
      <xdr:row>1</xdr:row>
      <xdr:rowOff>114300</xdr:rowOff>
    </xdr:from>
    <xdr:to>
      <xdr:col>2</xdr:col>
      <xdr:colOff>574675</xdr:colOff>
      <xdr:row>1</xdr:row>
      <xdr:rowOff>304800</xdr:rowOff>
    </xdr:to>
    <xdr:sp macro="SetFillRing" textlink="">
      <xdr:nvSpPr>
        <xdr:cNvPr id="113870" name="DalekFillRing2">
          <a:extLst>
            <a:ext uri="{FF2B5EF4-FFF2-40B4-BE49-F238E27FC236}">
              <a16:creationId xmlns:a16="http://schemas.microsoft.com/office/drawing/2014/main" id="{DCC5B554-8B6A-60FB-5B48-A60BD4F34988}"/>
            </a:ext>
          </a:extLst>
        </xdr:cNvPr>
        <xdr:cNvSpPr/>
      </xdr:nvSpPr>
      <xdr:spPr>
        <a:xfrm>
          <a:off x="2222500" y="381000"/>
          <a:ext cx="190500" cy="190500"/>
        </a:xfrm>
        <a:prstGeom prst="ellipse">
          <a:avLst/>
        </a:prstGeom>
        <a:pattFill prst="pct25">
          <a:fgClr>
            <a:srgbClr val="4BFF4B"/>
          </a:fgClr>
          <a:bgClr>
            <a:srgbClr val="000000"/>
          </a:bgClr>
        </a:patt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2</xdr:col>
      <xdr:colOff>701675</xdr:colOff>
      <xdr:row>1</xdr:row>
      <xdr:rowOff>114300</xdr:rowOff>
    </xdr:from>
    <xdr:to>
      <xdr:col>2</xdr:col>
      <xdr:colOff>892175</xdr:colOff>
      <xdr:row>1</xdr:row>
      <xdr:rowOff>304800</xdr:rowOff>
    </xdr:to>
    <xdr:sp macro="SetFillRing" textlink="">
      <xdr:nvSpPr>
        <xdr:cNvPr id="113871" name="DalekFillRing3">
          <a:extLst>
            <a:ext uri="{FF2B5EF4-FFF2-40B4-BE49-F238E27FC236}">
              <a16:creationId xmlns:a16="http://schemas.microsoft.com/office/drawing/2014/main" id="{234A0552-1C25-190A-AE5C-120C95989F10}"/>
            </a:ext>
          </a:extLst>
        </xdr:cNvPr>
        <xdr:cNvSpPr/>
      </xdr:nvSpPr>
      <xdr:spPr>
        <a:xfrm>
          <a:off x="2540000" y="381000"/>
          <a:ext cx="190500" cy="190500"/>
        </a:xfrm>
        <a:prstGeom prst="ellipse">
          <a:avLst/>
        </a:prstGeom>
        <a:pattFill prst="pct25">
          <a:fgClr>
            <a:srgbClr val="00FFFF"/>
          </a:fgClr>
          <a:bgClr>
            <a:srgbClr val="000000"/>
          </a:bgClr>
        </a:patt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2</xdr:col>
      <xdr:colOff>1019175</xdr:colOff>
      <xdr:row>1</xdr:row>
      <xdr:rowOff>114300</xdr:rowOff>
    </xdr:from>
    <xdr:to>
      <xdr:col>2</xdr:col>
      <xdr:colOff>1209675</xdr:colOff>
      <xdr:row>1</xdr:row>
      <xdr:rowOff>304800</xdr:rowOff>
    </xdr:to>
    <xdr:sp macro="SetFillRing" textlink="">
      <xdr:nvSpPr>
        <xdr:cNvPr id="113872" name="DalekFillRing4">
          <a:extLst>
            <a:ext uri="{FF2B5EF4-FFF2-40B4-BE49-F238E27FC236}">
              <a16:creationId xmlns:a16="http://schemas.microsoft.com/office/drawing/2014/main" id="{A9BA063E-D02B-698C-558D-6A2D03DBD8E4}"/>
            </a:ext>
          </a:extLst>
        </xdr:cNvPr>
        <xdr:cNvSpPr/>
      </xdr:nvSpPr>
      <xdr:spPr>
        <a:xfrm>
          <a:off x="2857500" y="381000"/>
          <a:ext cx="190500" cy="190500"/>
        </a:xfrm>
        <a:prstGeom prst="ellipse">
          <a:avLst/>
        </a:prstGeom>
        <a:pattFill prst="pct25">
          <a:fgClr>
            <a:srgbClr val="FF0000"/>
          </a:fgClr>
          <a:bgClr>
            <a:srgbClr val="000000"/>
          </a:bgClr>
        </a:patt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2</xdr:col>
      <xdr:colOff>1336675</xdr:colOff>
      <xdr:row>1</xdr:row>
      <xdr:rowOff>114300</xdr:rowOff>
    </xdr:from>
    <xdr:to>
      <xdr:col>3</xdr:col>
      <xdr:colOff>107950</xdr:colOff>
      <xdr:row>1</xdr:row>
      <xdr:rowOff>304800</xdr:rowOff>
    </xdr:to>
    <xdr:sp macro="SetFillRing" textlink="">
      <xdr:nvSpPr>
        <xdr:cNvPr id="113873" name="DalekFillRing5">
          <a:extLst>
            <a:ext uri="{FF2B5EF4-FFF2-40B4-BE49-F238E27FC236}">
              <a16:creationId xmlns:a16="http://schemas.microsoft.com/office/drawing/2014/main" id="{C40850A4-AF35-6F44-E43A-EEE914903981}"/>
            </a:ext>
          </a:extLst>
        </xdr:cNvPr>
        <xdr:cNvSpPr/>
      </xdr:nvSpPr>
      <xdr:spPr>
        <a:xfrm>
          <a:off x="3175000" y="381000"/>
          <a:ext cx="190500" cy="190500"/>
        </a:xfrm>
        <a:prstGeom prst="ellipse">
          <a:avLst/>
        </a:prstGeom>
        <a:pattFill prst="pct25">
          <a:fgClr>
            <a:srgbClr val="FF00FF"/>
          </a:fgClr>
          <a:bgClr>
            <a:srgbClr val="000000"/>
          </a:bgClr>
        </a:patt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3</xdr:col>
      <xdr:colOff>234950</xdr:colOff>
      <xdr:row>1</xdr:row>
      <xdr:rowOff>114300</xdr:rowOff>
    </xdr:from>
    <xdr:to>
      <xdr:col>3</xdr:col>
      <xdr:colOff>425450</xdr:colOff>
      <xdr:row>1</xdr:row>
      <xdr:rowOff>304800</xdr:rowOff>
    </xdr:to>
    <xdr:sp macro="SetFillRing" textlink="">
      <xdr:nvSpPr>
        <xdr:cNvPr id="113874" name="DalekFillRing6">
          <a:extLst>
            <a:ext uri="{FF2B5EF4-FFF2-40B4-BE49-F238E27FC236}">
              <a16:creationId xmlns:a16="http://schemas.microsoft.com/office/drawing/2014/main" id="{54B8D768-18D4-3BEF-F19D-C1A7897CAAB8}"/>
            </a:ext>
          </a:extLst>
        </xdr:cNvPr>
        <xdr:cNvSpPr/>
      </xdr:nvSpPr>
      <xdr:spPr>
        <a:xfrm>
          <a:off x="3492500" y="381000"/>
          <a:ext cx="190500" cy="190500"/>
        </a:xfrm>
        <a:prstGeom prst="ellipse">
          <a:avLst/>
        </a:prstGeom>
        <a:pattFill prst="pct25">
          <a:fgClr>
            <a:srgbClr val="FFFF00"/>
          </a:fgClr>
          <a:bgClr>
            <a:srgbClr val="000000"/>
          </a:bgClr>
        </a:patt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4</xdr:col>
      <xdr:colOff>123825</xdr:colOff>
      <xdr:row>1</xdr:row>
      <xdr:rowOff>114300</xdr:rowOff>
    </xdr:from>
    <xdr:to>
      <xdr:col>4</xdr:col>
      <xdr:colOff>314325</xdr:colOff>
      <xdr:row>1</xdr:row>
      <xdr:rowOff>304800</xdr:rowOff>
    </xdr:to>
    <xdr:sp macro="SetFillRing" textlink="">
      <xdr:nvSpPr>
        <xdr:cNvPr id="113875" name="DalekFillRing7">
          <a:extLst>
            <a:ext uri="{FF2B5EF4-FFF2-40B4-BE49-F238E27FC236}">
              <a16:creationId xmlns:a16="http://schemas.microsoft.com/office/drawing/2014/main" id="{CD4304AF-8BFC-6223-841E-E462037EA2DD}"/>
            </a:ext>
          </a:extLst>
        </xdr:cNvPr>
        <xdr:cNvSpPr/>
      </xdr:nvSpPr>
      <xdr:spPr>
        <a:xfrm>
          <a:off x="3810000" y="381000"/>
          <a:ext cx="190500" cy="190500"/>
        </a:xfrm>
        <a:prstGeom prst="ellipse">
          <a:avLst/>
        </a:prstGeom>
        <a:pattFill prst="pct25">
          <a:fgClr>
            <a:srgbClr val="FFFFFF"/>
          </a:fgClr>
          <a:bgClr>
            <a:srgbClr val="000000"/>
          </a:bgClr>
        </a:patt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6</xdr:col>
      <xdr:colOff>466725</xdr:colOff>
      <xdr:row>4</xdr:row>
      <xdr:rowOff>196850</xdr:rowOff>
    </xdr:from>
    <xdr:to>
      <xdr:col>6</xdr:col>
      <xdr:colOff>1038225</xdr:colOff>
      <xdr:row>5</xdr:row>
      <xdr:rowOff>301625</xdr:rowOff>
    </xdr:to>
    <xdr:sp macro="SetEyeRing" textlink="">
      <xdr:nvSpPr>
        <xdr:cNvPr id="113876" name="DalekEyeNoseRing1">
          <a:extLst>
            <a:ext uri="{FF2B5EF4-FFF2-40B4-BE49-F238E27FC236}">
              <a16:creationId xmlns:a16="http://schemas.microsoft.com/office/drawing/2014/main" id="{8A1B3020-EDC7-EE03-99AB-7AF78DC141FA}"/>
            </a:ext>
          </a:extLst>
        </xdr:cNvPr>
        <xdr:cNvSpPr/>
      </xdr:nvSpPr>
      <xdr:spPr>
        <a:xfrm>
          <a:off x="6096000" y="1778000"/>
          <a:ext cx="571500" cy="571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5</xdr:col>
      <xdr:colOff>898525</xdr:colOff>
      <xdr:row>2</xdr:row>
      <xdr:rowOff>311150</xdr:rowOff>
    </xdr:from>
    <xdr:to>
      <xdr:col>6</xdr:col>
      <xdr:colOff>212725</xdr:colOff>
      <xdr:row>4</xdr:row>
      <xdr:rowOff>6350</xdr:rowOff>
    </xdr:to>
    <xdr:sp macro="SetEyeRing" textlink="">
      <xdr:nvSpPr>
        <xdr:cNvPr id="113877" name="DalekEyeNoseRing2">
          <a:extLst>
            <a:ext uri="{FF2B5EF4-FFF2-40B4-BE49-F238E27FC236}">
              <a16:creationId xmlns:a16="http://schemas.microsoft.com/office/drawing/2014/main" id="{323E8E90-0512-8BB2-0102-2ED175D5CA90}"/>
            </a:ext>
          </a:extLst>
        </xdr:cNvPr>
        <xdr:cNvSpPr/>
      </xdr:nvSpPr>
      <xdr:spPr>
        <a:xfrm>
          <a:off x="5270500" y="1016000"/>
          <a:ext cx="571500" cy="571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6</xdr:col>
      <xdr:colOff>1292225</xdr:colOff>
      <xdr:row>2</xdr:row>
      <xdr:rowOff>311150</xdr:rowOff>
    </xdr:from>
    <xdr:to>
      <xdr:col>7</xdr:col>
      <xdr:colOff>463550</xdr:colOff>
      <xdr:row>4</xdr:row>
      <xdr:rowOff>6350</xdr:rowOff>
    </xdr:to>
    <xdr:sp macro="SetEyeRing" textlink="">
      <xdr:nvSpPr>
        <xdr:cNvPr id="113878" name="DalekEyeNoseRing3">
          <a:extLst>
            <a:ext uri="{FF2B5EF4-FFF2-40B4-BE49-F238E27FC236}">
              <a16:creationId xmlns:a16="http://schemas.microsoft.com/office/drawing/2014/main" id="{C0099979-A468-75FC-2CEB-26D8D69220A3}"/>
            </a:ext>
          </a:extLst>
        </xdr:cNvPr>
        <xdr:cNvSpPr/>
      </xdr:nvSpPr>
      <xdr:spPr>
        <a:xfrm>
          <a:off x="6921500" y="1016000"/>
          <a:ext cx="571500" cy="571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19050</xdr:rowOff>
        </xdr:from>
        <xdr:to>
          <xdr:col>5</xdr:col>
          <xdr:colOff>85725</xdr:colOff>
          <xdr:row>8</xdr:row>
          <xdr:rowOff>257175</xdr:rowOff>
        </xdr:to>
        <xdr:sp macro="" textlink="">
          <xdr:nvSpPr>
            <xdr:cNvPr id="107527" name="cmbMovement" hidden="1">
              <a:extLst>
                <a:ext uri="{63B3BB69-23CF-44E3-9099-C40C66FF867C}">
                  <a14:compatExt spid="_x0000_s107527"/>
                </a:ext>
                <a:ext uri="{FF2B5EF4-FFF2-40B4-BE49-F238E27FC236}">
                  <a16:creationId xmlns:a16="http://schemas.microsoft.com/office/drawing/2014/main" id="{00000000-0008-0000-0200-000007A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16</xdr:row>
          <xdr:rowOff>47625</xdr:rowOff>
        </xdr:from>
        <xdr:to>
          <xdr:col>5</xdr:col>
          <xdr:colOff>142875</xdr:colOff>
          <xdr:row>17</xdr:row>
          <xdr:rowOff>0</xdr:rowOff>
        </xdr:to>
        <xdr:sp macro="" textlink="">
          <xdr:nvSpPr>
            <xdr:cNvPr id="107528" name="cmbShape" hidden="1">
              <a:extLst>
                <a:ext uri="{63B3BB69-23CF-44E3-9099-C40C66FF867C}">
                  <a14:compatExt spid="_x0000_s107528"/>
                </a:ext>
                <a:ext uri="{FF2B5EF4-FFF2-40B4-BE49-F238E27FC236}">
                  <a16:creationId xmlns:a16="http://schemas.microsoft.com/office/drawing/2014/main" id="{00000000-0008-0000-0200-000008A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95250</xdr:colOff>
          <xdr:row>22</xdr:row>
          <xdr:rowOff>9525</xdr:rowOff>
        </xdr:from>
        <xdr:to>
          <xdr:col>5</xdr:col>
          <xdr:colOff>409575</xdr:colOff>
          <xdr:row>22</xdr:row>
          <xdr:rowOff>247650</xdr:rowOff>
        </xdr:to>
        <xdr:sp macro="" textlink="">
          <xdr:nvSpPr>
            <xdr:cNvPr id="107529" name="cmbInvert" hidden="1">
              <a:extLst>
                <a:ext uri="{63B3BB69-23CF-44E3-9099-C40C66FF867C}">
                  <a14:compatExt spid="_x0000_s107529"/>
                </a:ext>
                <a:ext uri="{FF2B5EF4-FFF2-40B4-BE49-F238E27FC236}">
                  <a16:creationId xmlns:a16="http://schemas.microsoft.com/office/drawing/2014/main" id="{00000000-0008-0000-0200-000009A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123825</xdr:colOff>
          <xdr:row>25</xdr:row>
          <xdr:rowOff>38100</xdr:rowOff>
        </xdr:from>
        <xdr:to>
          <xdr:col>5</xdr:col>
          <xdr:colOff>438150</xdr:colOff>
          <xdr:row>25</xdr:row>
          <xdr:rowOff>276225</xdr:rowOff>
        </xdr:to>
        <xdr:sp macro="" textlink="">
          <xdr:nvSpPr>
            <xdr:cNvPr id="107530" name="cmbLHres" hidden="1">
              <a:extLst>
                <a:ext uri="{63B3BB69-23CF-44E3-9099-C40C66FF867C}">
                  <a14:compatExt spid="_x0000_s107530"/>
                </a:ext>
                <a:ext uri="{FF2B5EF4-FFF2-40B4-BE49-F238E27FC236}">
                  <a16:creationId xmlns:a16="http://schemas.microsoft.com/office/drawing/2014/main" id="{00000000-0008-0000-0200-00000AA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40:F47" totalsRowShown="0" headerRowDxfId="27" dataDxfId="26">
  <autoFilter ref="A40:F47" xr:uid="{00000000-0009-0000-0100-000001000000}"/>
  <tableColumns count="6">
    <tableColumn id="1" xr3:uid="{00000000-0010-0000-0000-000001000000}" name="Behaviour of text in various situations per buffer" dataDxfId="25"/>
    <tableColumn id="4" xr3:uid="{00000000-0010-0000-0000-000004000000}" name="(1) Static" dataDxfId="24"/>
    <tableColumn id="5" xr3:uid="{00000000-0010-0000-0000-000005000000}" name="(2) R-&gt;L" dataDxfId="23"/>
    <tableColumn id="6" xr3:uid="{00000000-0010-0000-0000-000006000000}" name="(3) L-R" dataDxfId="22"/>
    <tableColumn id="7" xr3:uid="{00000000-0010-0000-0000-000007000000}" name="(4) Up" dataDxfId="21"/>
    <tableColumn id="8" xr3:uid="{00000000-0010-0000-0000-000008000000}" name="(5) Down" dataDxfId="20"/>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13" displayName="Table13" ref="A49:F56" totalsRowShown="0" headerRowDxfId="19" dataDxfId="18">
  <autoFilter ref="A49:F56" xr:uid="{00000000-0009-0000-0100-000002000000}"/>
  <tableColumns count="6">
    <tableColumn id="1" xr3:uid="{00000000-0010-0000-0100-000001000000}" name="Implementation notes" dataDxfId="17"/>
    <tableColumn id="4" xr3:uid="{00000000-0010-0000-0100-000004000000}" name="(1) Static" dataDxfId="16"/>
    <tableColumn id="5" xr3:uid="{00000000-0010-0000-0100-000005000000}" name="(2) R-&gt;L" dataDxfId="15"/>
    <tableColumn id="6" xr3:uid="{00000000-0010-0000-0100-000006000000}" name="(3) L-R" dataDxfId="14"/>
    <tableColumn id="7" xr3:uid="{00000000-0010-0000-0100-000007000000}" name="(4) Up" dataDxfId="13"/>
    <tableColumn id="8" xr3:uid="{00000000-0010-0000-0100-000008000000}" name="(5) Down" dataDxfId="12"/>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3" displayName="Table3" ref="A30:B35" totalsRowShown="0" headerRowBorderDxfId="11" tableBorderDxfId="10" totalsRowBorderDxfId="9">
  <autoFilter ref="A30:B35" xr:uid="{00000000-0009-0000-0100-000003000000}"/>
  <tableColumns count="2">
    <tableColumn id="1" xr3:uid="{00000000-0010-0000-0200-000001000000}" name="PATTERNS" dataDxfId="8"/>
    <tableColumn id="2" xr3:uid="{00000000-0010-0000-0200-000002000000}" name="Display of a…" dataDxfId="7"/>
  </tableColumns>
  <tableStyleInfo name="TableStyleMedium16"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e4" displayName="Table4" ref="A1:F28" totalsRowShown="0" dataDxfId="6">
  <autoFilter ref="A1:F28" xr:uid="{00000000-0009-0000-0100-000004000000}"/>
  <tableColumns count="6">
    <tableColumn id="1" xr3:uid="{00000000-0010-0000-0300-000001000000}" name="character" dataDxfId="5"/>
    <tableColumn id="2" xr3:uid="{00000000-0010-0000-0300-000002000000}" name="UC/LC" dataDxfId="4"/>
    <tableColumn id="3" xr3:uid="{00000000-0010-0000-0300-000003000000}" name="arg" dataDxfId="3"/>
    <tableColumn id="4" xr3:uid="{00000000-0010-0000-0300-000004000000}" name="what does it do" dataDxfId="2"/>
    <tableColumn id="5" xr3:uid="{00000000-0010-0000-0300-000005000000}" name="Column1" dataDxfId="1"/>
    <tableColumn id="6" xr3:uid="{00000000-0010-0000-0300-000006000000}" name="comment" dataDxfId="0"/>
  </tableColumns>
  <tableStyleInfo name="TableStyleMedium16"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image" Target="../media/image5.emf"/><Relationship Id="rId18" Type="http://schemas.openxmlformats.org/officeDocument/2006/relationships/control" Target="../activeX/activeX8.xml"/><Relationship Id="rId26" Type="http://schemas.openxmlformats.org/officeDocument/2006/relationships/control" Target="../activeX/activeX12.xml"/><Relationship Id="rId39" Type="http://schemas.openxmlformats.org/officeDocument/2006/relationships/image" Target="../media/image18.emf"/><Relationship Id="rId21" Type="http://schemas.openxmlformats.org/officeDocument/2006/relationships/image" Target="../media/image9.emf"/><Relationship Id="rId34" Type="http://schemas.openxmlformats.org/officeDocument/2006/relationships/control" Target="../activeX/activeX16.xml"/><Relationship Id="rId42" Type="http://schemas.openxmlformats.org/officeDocument/2006/relationships/control" Target="../activeX/activeX20.xml"/><Relationship Id="rId47" Type="http://schemas.openxmlformats.org/officeDocument/2006/relationships/image" Target="../media/image22.emf"/><Relationship Id="rId50" Type="http://schemas.openxmlformats.org/officeDocument/2006/relationships/control" Target="../activeX/activeX24.xml"/><Relationship Id="rId55" Type="http://schemas.openxmlformats.org/officeDocument/2006/relationships/image" Target="../media/image26.emf"/><Relationship Id="rId63" Type="http://schemas.openxmlformats.org/officeDocument/2006/relationships/image" Target="../media/image30.emf"/><Relationship Id="rId7" Type="http://schemas.openxmlformats.org/officeDocument/2006/relationships/image" Target="../media/image2.emf"/><Relationship Id="rId2" Type="http://schemas.openxmlformats.org/officeDocument/2006/relationships/drawing" Target="../drawings/drawing1.xml"/><Relationship Id="rId16" Type="http://schemas.openxmlformats.org/officeDocument/2006/relationships/control" Target="../activeX/activeX7.xml"/><Relationship Id="rId20" Type="http://schemas.openxmlformats.org/officeDocument/2006/relationships/control" Target="../activeX/activeX9.xml"/><Relationship Id="rId29" Type="http://schemas.openxmlformats.org/officeDocument/2006/relationships/image" Target="../media/image13.emf"/><Relationship Id="rId41" Type="http://schemas.openxmlformats.org/officeDocument/2006/relationships/image" Target="../media/image19.emf"/><Relationship Id="rId54" Type="http://schemas.openxmlformats.org/officeDocument/2006/relationships/control" Target="../activeX/activeX26.xml"/><Relationship Id="rId62" Type="http://schemas.openxmlformats.org/officeDocument/2006/relationships/control" Target="../activeX/activeX30.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24" Type="http://schemas.openxmlformats.org/officeDocument/2006/relationships/control" Target="../activeX/activeX11.xml"/><Relationship Id="rId32" Type="http://schemas.openxmlformats.org/officeDocument/2006/relationships/control" Target="../activeX/activeX15.xml"/><Relationship Id="rId37" Type="http://schemas.openxmlformats.org/officeDocument/2006/relationships/image" Target="../media/image17.emf"/><Relationship Id="rId40" Type="http://schemas.openxmlformats.org/officeDocument/2006/relationships/control" Target="../activeX/activeX19.xml"/><Relationship Id="rId45" Type="http://schemas.openxmlformats.org/officeDocument/2006/relationships/image" Target="../media/image21.emf"/><Relationship Id="rId53" Type="http://schemas.openxmlformats.org/officeDocument/2006/relationships/image" Target="../media/image25.emf"/><Relationship Id="rId58" Type="http://schemas.openxmlformats.org/officeDocument/2006/relationships/control" Target="../activeX/activeX28.xml"/><Relationship Id="rId5" Type="http://schemas.openxmlformats.org/officeDocument/2006/relationships/image" Target="../media/image1.emf"/><Relationship Id="rId15" Type="http://schemas.openxmlformats.org/officeDocument/2006/relationships/image" Target="../media/image6.emf"/><Relationship Id="rId23" Type="http://schemas.openxmlformats.org/officeDocument/2006/relationships/image" Target="../media/image10.emf"/><Relationship Id="rId28" Type="http://schemas.openxmlformats.org/officeDocument/2006/relationships/control" Target="../activeX/activeX13.xml"/><Relationship Id="rId36" Type="http://schemas.openxmlformats.org/officeDocument/2006/relationships/control" Target="../activeX/activeX17.xml"/><Relationship Id="rId49" Type="http://schemas.openxmlformats.org/officeDocument/2006/relationships/image" Target="../media/image23.emf"/><Relationship Id="rId57" Type="http://schemas.openxmlformats.org/officeDocument/2006/relationships/image" Target="../media/image27.emf"/><Relationship Id="rId61" Type="http://schemas.openxmlformats.org/officeDocument/2006/relationships/image" Target="../media/image29.emf"/><Relationship Id="rId10" Type="http://schemas.openxmlformats.org/officeDocument/2006/relationships/control" Target="../activeX/activeX4.xml"/><Relationship Id="rId19" Type="http://schemas.openxmlformats.org/officeDocument/2006/relationships/image" Target="../media/image8.emf"/><Relationship Id="rId31" Type="http://schemas.openxmlformats.org/officeDocument/2006/relationships/image" Target="../media/image14.emf"/><Relationship Id="rId44" Type="http://schemas.openxmlformats.org/officeDocument/2006/relationships/control" Target="../activeX/activeX21.xml"/><Relationship Id="rId52" Type="http://schemas.openxmlformats.org/officeDocument/2006/relationships/control" Target="../activeX/activeX25.xml"/><Relationship Id="rId60" Type="http://schemas.openxmlformats.org/officeDocument/2006/relationships/control" Target="../activeX/activeX29.xml"/><Relationship Id="rId65" Type="http://schemas.openxmlformats.org/officeDocument/2006/relationships/ctrlProp" Target="../ctrlProps/ctrlProp2.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image" Target="../media/image12.emf"/><Relationship Id="rId30" Type="http://schemas.openxmlformats.org/officeDocument/2006/relationships/control" Target="../activeX/activeX14.xml"/><Relationship Id="rId35" Type="http://schemas.openxmlformats.org/officeDocument/2006/relationships/image" Target="../media/image16.emf"/><Relationship Id="rId43" Type="http://schemas.openxmlformats.org/officeDocument/2006/relationships/image" Target="../media/image20.emf"/><Relationship Id="rId48" Type="http://schemas.openxmlformats.org/officeDocument/2006/relationships/control" Target="../activeX/activeX23.xml"/><Relationship Id="rId56" Type="http://schemas.openxmlformats.org/officeDocument/2006/relationships/control" Target="../activeX/activeX27.xml"/><Relationship Id="rId64" Type="http://schemas.openxmlformats.org/officeDocument/2006/relationships/ctrlProp" Target="../ctrlProps/ctrlProp1.xml"/><Relationship Id="rId8" Type="http://schemas.openxmlformats.org/officeDocument/2006/relationships/control" Target="../activeX/activeX3.xml"/><Relationship Id="rId51" Type="http://schemas.openxmlformats.org/officeDocument/2006/relationships/image" Target="../media/image24.emf"/><Relationship Id="rId3" Type="http://schemas.openxmlformats.org/officeDocument/2006/relationships/vmlDrawing" Target="../drawings/vmlDrawing1.vml"/><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image" Target="../media/image11.emf"/><Relationship Id="rId33" Type="http://schemas.openxmlformats.org/officeDocument/2006/relationships/image" Target="../media/image15.emf"/><Relationship Id="rId38" Type="http://schemas.openxmlformats.org/officeDocument/2006/relationships/control" Target="../activeX/activeX18.xml"/><Relationship Id="rId46" Type="http://schemas.openxmlformats.org/officeDocument/2006/relationships/control" Target="../activeX/activeX22.xml"/><Relationship Id="rId59" Type="http://schemas.openxmlformats.org/officeDocument/2006/relationships/image" Target="../media/image28.emf"/></Relationships>
</file>

<file path=xl/worksheets/_rels/sheet2.xml.rels><?xml version="1.0" encoding="UTF-8" standalone="yes"?>
<Relationships xmlns="http://schemas.openxmlformats.org/package/2006/relationships"><Relationship Id="rId13" Type="http://schemas.openxmlformats.org/officeDocument/2006/relationships/control" Target="../activeX/activeX36.xml"/><Relationship Id="rId18" Type="http://schemas.openxmlformats.org/officeDocument/2006/relationships/image" Target="../media/image38.emf"/><Relationship Id="rId26" Type="http://schemas.openxmlformats.org/officeDocument/2006/relationships/image" Target="../media/image42.emf"/><Relationship Id="rId39" Type="http://schemas.openxmlformats.org/officeDocument/2006/relationships/control" Target="../activeX/activeX49.xml"/><Relationship Id="rId21" Type="http://schemas.openxmlformats.org/officeDocument/2006/relationships/control" Target="../activeX/activeX40.xml"/><Relationship Id="rId34" Type="http://schemas.openxmlformats.org/officeDocument/2006/relationships/image" Target="../media/image46.emf"/><Relationship Id="rId42" Type="http://schemas.openxmlformats.org/officeDocument/2006/relationships/image" Target="../media/image50.emf"/><Relationship Id="rId47" Type="http://schemas.openxmlformats.org/officeDocument/2006/relationships/control" Target="../activeX/activeX53.xml"/><Relationship Id="rId50" Type="http://schemas.openxmlformats.org/officeDocument/2006/relationships/image" Target="../media/image54.emf"/><Relationship Id="rId55" Type="http://schemas.openxmlformats.org/officeDocument/2006/relationships/control" Target="../activeX/activeX57.xml"/><Relationship Id="rId63" Type="http://schemas.openxmlformats.org/officeDocument/2006/relationships/control" Target="../activeX/activeX61.xml"/><Relationship Id="rId68" Type="http://schemas.openxmlformats.org/officeDocument/2006/relationships/image" Target="../media/image63.emf"/><Relationship Id="rId76" Type="http://schemas.openxmlformats.org/officeDocument/2006/relationships/image" Target="../media/image67.emf"/><Relationship Id="rId7" Type="http://schemas.openxmlformats.org/officeDocument/2006/relationships/control" Target="../activeX/activeX33.xml"/><Relationship Id="rId71" Type="http://schemas.openxmlformats.org/officeDocument/2006/relationships/control" Target="../activeX/activeX65.xml"/><Relationship Id="rId2" Type="http://schemas.openxmlformats.org/officeDocument/2006/relationships/vmlDrawing" Target="../drawings/vmlDrawing2.vml"/><Relationship Id="rId16" Type="http://schemas.openxmlformats.org/officeDocument/2006/relationships/image" Target="../media/image37.emf"/><Relationship Id="rId29" Type="http://schemas.openxmlformats.org/officeDocument/2006/relationships/control" Target="../activeX/activeX44.xml"/><Relationship Id="rId11" Type="http://schemas.openxmlformats.org/officeDocument/2006/relationships/control" Target="../activeX/activeX35.xml"/><Relationship Id="rId24" Type="http://schemas.openxmlformats.org/officeDocument/2006/relationships/image" Target="../media/image41.emf"/><Relationship Id="rId32" Type="http://schemas.openxmlformats.org/officeDocument/2006/relationships/image" Target="../media/image45.emf"/><Relationship Id="rId37" Type="http://schemas.openxmlformats.org/officeDocument/2006/relationships/control" Target="../activeX/activeX48.xml"/><Relationship Id="rId40" Type="http://schemas.openxmlformats.org/officeDocument/2006/relationships/image" Target="../media/image49.emf"/><Relationship Id="rId45" Type="http://schemas.openxmlformats.org/officeDocument/2006/relationships/control" Target="../activeX/activeX52.xml"/><Relationship Id="rId53" Type="http://schemas.openxmlformats.org/officeDocument/2006/relationships/control" Target="../activeX/activeX56.xml"/><Relationship Id="rId58" Type="http://schemas.openxmlformats.org/officeDocument/2006/relationships/image" Target="../media/image58.emf"/><Relationship Id="rId66" Type="http://schemas.openxmlformats.org/officeDocument/2006/relationships/image" Target="../media/image62.emf"/><Relationship Id="rId74" Type="http://schemas.openxmlformats.org/officeDocument/2006/relationships/image" Target="../media/image66.emf"/><Relationship Id="rId5" Type="http://schemas.openxmlformats.org/officeDocument/2006/relationships/control" Target="../activeX/activeX32.xml"/><Relationship Id="rId15" Type="http://schemas.openxmlformats.org/officeDocument/2006/relationships/control" Target="../activeX/activeX37.xml"/><Relationship Id="rId23" Type="http://schemas.openxmlformats.org/officeDocument/2006/relationships/control" Target="../activeX/activeX41.xml"/><Relationship Id="rId28" Type="http://schemas.openxmlformats.org/officeDocument/2006/relationships/image" Target="../media/image43.emf"/><Relationship Id="rId36" Type="http://schemas.openxmlformats.org/officeDocument/2006/relationships/image" Target="../media/image47.emf"/><Relationship Id="rId49" Type="http://schemas.openxmlformats.org/officeDocument/2006/relationships/control" Target="../activeX/activeX54.xml"/><Relationship Id="rId57" Type="http://schemas.openxmlformats.org/officeDocument/2006/relationships/control" Target="../activeX/activeX58.xml"/><Relationship Id="rId61" Type="http://schemas.openxmlformats.org/officeDocument/2006/relationships/control" Target="../activeX/activeX60.xml"/><Relationship Id="rId10" Type="http://schemas.openxmlformats.org/officeDocument/2006/relationships/image" Target="../media/image34.emf"/><Relationship Id="rId19" Type="http://schemas.openxmlformats.org/officeDocument/2006/relationships/control" Target="../activeX/activeX39.xml"/><Relationship Id="rId31" Type="http://schemas.openxmlformats.org/officeDocument/2006/relationships/control" Target="../activeX/activeX45.xml"/><Relationship Id="rId44" Type="http://schemas.openxmlformats.org/officeDocument/2006/relationships/image" Target="../media/image51.emf"/><Relationship Id="rId52" Type="http://schemas.openxmlformats.org/officeDocument/2006/relationships/image" Target="../media/image55.emf"/><Relationship Id="rId60" Type="http://schemas.openxmlformats.org/officeDocument/2006/relationships/image" Target="../media/image59.emf"/><Relationship Id="rId65" Type="http://schemas.openxmlformats.org/officeDocument/2006/relationships/control" Target="../activeX/activeX62.xml"/><Relationship Id="rId73" Type="http://schemas.openxmlformats.org/officeDocument/2006/relationships/control" Target="../activeX/activeX66.xml"/><Relationship Id="rId78" Type="http://schemas.openxmlformats.org/officeDocument/2006/relationships/image" Target="../media/image68.emf"/><Relationship Id="rId4" Type="http://schemas.openxmlformats.org/officeDocument/2006/relationships/image" Target="../media/image31.emf"/><Relationship Id="rId9" Type="http://schemas.openxmlformats.org/officeDocument/2006/relationships/control" Target="../activeX/activeX34.xml"/><Relationship Id="rId14" Type="http://schemas.openxmlformats.org/officeDocument/2006/relationships/image" Target="../media/image36.emf"/><Relationship Id="rId22" Type="http://schemas.openxmlformats.org/officeDocument/2006/relationships/image" Target="../media/image40.emf"/><Relationship Id="rId27" Type="http://schemas.openxmlformats.org/officeDocument/2006/relationships/control" Target="../activeX/activeX43.xml"/><Relationship Id="rId30" Type="http://schemas.openxmlformats.org/officeDocument/2006/relationships/image" Target="../media/image44.emf"/><Relationship Id="rId35" Type="http://schemas.openxmlformats.org/officeDocument/2006/relationships/control" Target="../activeX/activeX47.xml"/><Relationship Id="rId43" Type="http://schemas.openxmlformats.org/officeDocument/2006/relationships/control" Target="../activeX/activeX51.xml"/><Relationship Id="rId48" Type="http://schemas.openxmlformats.org/officeDocument/2006/relationships/image" Target="../media/image53.emf"/><Relationship Id="rId56" Type="http://schemas.openxmlformats.org/officeDocument/2006/relationships/image" Target="../media/image57.emf"/><Relationship Id="rId64" Type="http://schemas.openxmlformats.org/officeDocument/2006/relationships/image" Target="../media/image61.emf"/><Relationship Id="rId69" Type="http://schemas.openxmlformats.org/officeDocument/2006/relationships/control" Target="../activeX/activeX64.xml"/><Relationship Id="rId77" Type="http://schemas.openxmlformats.org/officeDocument/2006/relationships/control" Target="../activeX/activeX68.xml"/><Relationship Id="rId8" Type="http://schemas.openxmlformats.org/officeDocument/2006/relationships/image" Target="../media/image33.emf"/><Relationship Id="rId51" Type="http://schemas.openxmlformats.org/officeDocument/2006/relationships/control" Target="../activeX/activeX55.xml"/><Relationship Id="rId72" Type="http://schemas.openxmlformats.org/officeDocument/2006/relationships/image" Target="../media/image65.emf"/><Relationship Id="rId3" Type="http://schemas.openxmlformats.org/officeDocument/2006/relationships/control" Target="../activeX/activeX31.xml"/><Relationship Id="rId12" Type="http://schemas.openxmlformats.org/officeDocument/2006/relationships/image" Target="../media/image35.emf"/><Relationship Id="rId17" Type="http://schemas.openxmlformats.org/officeDocument/2006/relationships/control" Target="../activeX/activeX38.xml"/><Relationship Id="rId25" Type="http://schemas.openxmlformats.org/officeDocument/2006/relationships/control" Target="../activeX/activeX42.xml"/><Relationship Id="rId33" Type="http://schemas.openxmlformats.org/officeDocument/2006/relationships/control" Target="../activeX/activeX46.xml"/><Relationship Id="rId38" Type="http://schemas.openxmlformats.org/officeDocument/2006/relationships/image" Target="../media/image48.emf"/><Relationship Id="rId46" Type="http://schemas.openxmlformats.org/officeDocument/2006/relationships/image" Target="../media/image52.emf"/><Relationship Id="rId59" Type="http://schemas.openxmlformats.org/officeDocument/2006/relationships/control" Target="../activeX/activeX59.xml"/><Relationship Id="rId67" Type="http://schemas.openxmlformats.org/officeDocument/2006/relationships/control" Target="../activeX/activeX63.xml"/><Relationship Id="rId20" Type="http://schemas.openxmlformats.org/officeDocument/2006/relationships/image" Target="../media/image39.emf"/><Relationship Id="rId41" Type="http://schemas.openxmlformats.org/officeDocument/2006/relationships/control" Target="../activeX/activeX50.xml"/><Relationship Id="rId54" Type="http://schemas.openxmlformats.org/officeDocument/2006/relationships/image" Target="../media/image56.emf"/><Relationship Id="rId62" Type="http://schemas.openxmlformats.org/officeDocument/2006/relationships/image" Target="../media/image60.emf"/><Relationship Id="rId70" Type="http://schemas.openxmlformats.org/officeDocument/2006/relationships/image" Target="../media/image64.emf"/><Relationship Id="rId75" Type="http://schemas.openxmlformats.org/officeDocument/2006/relationships/control" Target="../activeX/activeX67.xml"/><Relationship Id="rId1" Type="http://schemas.openxmlformats.org/officeDocument/2006/relationships/drawing" Target="../drawings/drawing2.xml"/><Relationship Id="rId6" Type="http://schemas.openxmlformats.org/officeDocument/2006/relationships/image" Target="../media/image32.emf"/></Relationships>
</file>

<file path=xl/worksheets/_rels/sheet3.xml.rels><?xml version="1.0" encoding="UTF-8" standalone="yes"?>
<Relationships xmlns="http://schemas.openxmlformats.org/package/2006/relationships"><Relationship Id="rId8" Type="http://schemas.openxmlformats.org/officeDocument/2006/relationships/image" Target="../media/image71.emf"/><Relationship Id="rId3" Type="http://schemas.openxmlformats.org/officeDocument/2006/relationships/control" Target="../activeX/activeX69.xml"/><Relationship Id="rId7" Type="http://schemas.openxmlformats.org/officeDocument/2006/relationships/control" Target="../activeX/activeX71.xml"/><Relationship Id="rId2" Type="http://schemas.openxmlformats.org/officeDocument/2006/relationships/vmlDrawing" Target="../drawings/vmlDrawing3.vml"/><Relationship Id="rId1" Type="http://schemas.openxmlformats.org/officeDocument/2006/relationships/drawing" Target="../drawings/drawing3.xml"/><Relationship Id="rId6" Type="http://schemas.openxmlformats.org/officeDocument/2006/relationships/image" Target="../media/image70.emf"/><Relationship Id="rId5" Type="http://schemas.openxmlformats.org/officeDocument/2006/relationships/control" Target="../activeX/activeX70.xml"/><Relationship Id="rId10" Type="http://schemas.openxmlformats.org/officeDocument/2006/relationships/image" Target="../media/image72.emf"/><Relationship Id="rId4" Type="http://schemas.openxmlformats.org/officeDocument/2006/relationships/image" Target="../media/image69.emf"/><Relationship Id="rId9" Type="http://schemas.openxmlformats.org/officeDocument/2006/relationships/control" Target="../activeX/activeX72.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3" Type="http://schemas.openxmlformats.org/officeDocument/2006/relationships/table" Target="../tables/table1.xml"/><Relationship Id="rId7" Type="http://schemas.openxmlformats.org/officeDocument/2006/relationships/comments" Target="../comments1.xml"/><Relationship Id="rId2" Type="http://schemas.openxmlformats.org/officeDocument/2006/relationships/vmlDrawing" Target="../drawings/vmlDrawing4.vml"/><Relationship Id="rId1" Type="http://schemas.openxmlformats.org/officeDocument/2006/relationships/printerSettings" Target="../printerSettings/printerSettings5.bin"/><Relationship Id="rId6" Type="http://schemas.openxmlformats.org/officeDocument/2006/relationships/table" Target="../tables/table4.xml"/><Relationship Id="rId5" Type="http://schemas.openxmlformats.org/officeDocument/2006/relationships/table" Target="../tables/table3.xml"/><Relationship Id="rId4"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G44"/>
  <sheetViews>
    <sheetView tabSelected="1" zoomScaleNormal="100" workbookViewId="0">
      <selection activeCell="B10" sqref="B10:N10"/>
    </sheetView>
  </sheetViews>
  <sheetFormatPr defaultRowHeight="14.25" x14ac:dyDescent="0.2"/>
  <cols>
    <col min="16" max="16" width="10.125" customWidth="1"/>
    <col min="18" max="18" width="73.25" bestFit="1" customWidth="1"/>
  </cols>
  <sheetData>
    <row r="1" spans="1:33" x14ac:dyDescent="0.2">
      <c r="A1" s="2"/>
      <c r="B1" s="3"/>
      <c r="C1" s="3"/>
      <c r="D1" s="3"/>
      <c r="E1" s="3"/>
      <c r="F1" s="3"/>
      <c r="G1" s="3"/>
      <c r="H1" s="3"/>
      <c r="I1" s="3"/>
      <c r="J1" s="3"/>
      <c r="K1" s="3"/>
      <c r="L1" s="3"/>
      <c r="M1" s="3"/>
      <c r="N1" s="3"/>
      <c r="O1" s="3"/>
      <c r="P1" s="4"/>
      <c r="R1" t="s">
        <v>98</v>
      </c>
    </row>
    <row r="2" spans="1:33" x14ac:dyDescent="0.2">
      <c r="A2" s="5"/>
      <c r="B2" s="6" t="b">
        <v>1</v>
      </c>
      <c r="C2" s="6"/>
      <c r="D2" s="6"/>
      <c r="E2" s="6"/>
      <c r="F2" s="6"/>
      <c r="G2" s="6"/>
      <c r="H2" s="6"/>
      <c r="I2" s="6"/>
      <c r="J2" s="6"/>
      <c r="K2" s="6"/>
      <c r="L2" s="6"/>
      <c r="M2" s="6"/>
      <c r="N2" s="6"/>
      <c r="O2" s="6"/>
      <c r="P2" s="11"/>
    </row>
    <row r="3" spans="1:33" x14ac:dyDescent="0.2">
      <c r="A3" s="5"/>
      <c r="B3" s="6" t="b">
        <v>0</v>
      </c>
      <c r="C3" s="6"/>
      <c r="D3" s="6"/>
      <c r="E3" s="6"/>
      <c r="F3" s="6"/>
      <c r="G3" s="6"/>
      <c r="H3" s="6"/>
      <c r="I3" s="6"/>
      <c r="J3" s="6"/>
      <c r="K3" s="6"/>
      <c r="L3" s="6"/>
      <c r="M3" s="6"/>
      <c r="N3" s="6"/>
      <c r="O3" s="6"/>
      <c r="P3" s="11"/>
      <c r="Q3" s="15" t="s">
        <v>94</v>
      </c>
      <c r="R3" t="s">
        <v>96</v>
      </c>
    </row>
    <row r="4" spans="1:33" x14ac:dyDescent="0.2">
      <c r="A4" s="5"/>
      <c r="B4" s="6" t="b">
        <v>1</v>
      </c>
      <c r="C4" s="6"/>
      <c r="D4" s="6"/>
      <c r="E4" s="6"/>
      <c r="F4" s="6"/>
      <c r="G4" s="6"/>
      <c r="H4" s="6"/>
      <c r="I4" s="6"/>
      <c r="J4" s="6"/>
      <c r="K4" s="6"/>
      <c r="L4" s="6"/>
      <c r="M4" s="6"/>
      <c r="N4" s="6"/>
      <c r="O4" s="6"/>
      <c r="P4" s="7"/>
      <c r="Q4" s="15" t="s">
        <v>95</v>
      </c>
      <c r="R4" t="s">
        <v>97</v>
      </c>
    </row>
    <row r="5" spans="1:33" x14ac:dyDescent="0.2">
      <c r="A5" s="5"/>
      <c r="B5" s="6" t="b">
        <v>0</v>
      </c>
      <c r="C5" s="6"/>
      <c r="D5" s="6"/>
      <c r="E5" s="6"/>
      <c r="F5" s="6"/>
      <c r="G5" s="6"/>
      <c r="H5" s="6"/>
      <c r="I5" s="6"/>
      <c r="J5" s="6"/>
      <c r="K5" s="6"/>
      <c r="L5" s="6"/>
      <c r="M5" s="6"/>
      <c r="N5" s="6"/>
      <c r="O5" s="6"/>
      <c r="P5" s="7"/>
      <c r="Q5" s="15" t="s">
        <v>128</v>
      </c>
      <c r="R5" t="s">
        <v>90</v>
      </c>
    </row>
    <row r="6" spans="1:33" x14ac:dyDescent="0.2">
      <c r="A6" s="5"/>
      <c r="B6" s="6" t="b">
        <v>0</v>
      </c>
      <c r="C6" s="6"/>
      <c r="D6" s="6"/>
      <c r="E6" s="6"/>
      <c r="F6" s="6"/>
      <c r="G6" s="6"/>
      <c r="H6" s="6"/>
      <c r="I6" s="6"/>
      <c r="J6" s="6"/>
      <c r="K6" s="6"/>
      <c r="L6" s="6"/>
      <c r="M6" s="6"/>
      <c r="N6" s="6"/>
      <c r="O6" s="6"/>
      <c r="P6" s="7"/>
      <c r="Q6" s="15" t="s">
        <v>88</v>
      </c>
      <c r="R6" t="s">
        <v>91</v>
      </c>
    </row>
    <row r="7" spans="1:33" x14ac:dyDescent="0.2">
      <c r="A7" s="5"/>
      <c r="B7" s="6"/>
      <c r="C7" s="6"/>
      <c r="D7" s="6"/>
      <c r="E7" s="6"/>
      <c r="F7" s="6"/>
      <c r="G7" s="6"/>
      <c r="H7" s="6"/>
      <c r="I7" s="6"/>
      <c r="J7" s="6"/>
      <c r="K7" s="6"/>
      <c r="L7" s="6"/>
      <c r="M7" s="6"/>
      <c r="N7" s="6"/>
      <c r="O7" s="6"/>
      <c r="P7" s="11"/>
      <c r="Q7" s="15" t="s">
        <v>89</v>
      </c>
      <c r="R7" t="s">
        <v>92</v>
      </c>
    </row>
    <row r="8" spans="1:33" x14ac:dyDescent="0.2">
      <c r="A8" s="5"/>
      <c r="B8" s="6"/>
      <c r="C8" s="6"/>
      <c r="D8" s="6"/>
      <c r="E8" s="6"/>
      <c r="F8" s="6"/>
      <c r="G8" s="6"/>
      <c r="H8" s="6"/>
      <c r="I8" s="6"/>
      <c r="J8" s="6"/>
      <c r="K8" s="6"/>
      <c r="L8" s="6"/>
      <c r="M8" s="6"/>
      <c r="N8" s="6"/>
      <c r="O8" s="6"/>
      <c r="P8" s="11"/>
      <c r="Q8" s="15" t="s">
        <v>129</v>
      </c>
      <c r="R8" t="s">
        <v>93</v>
      </c>
    </row>
    <row r="9" spans="1:33" ht="15" thickBot="1" x14ac:dyDescent="0.25">
      <c r="A9" s="8"/>
      <c r="B9" s="9"/>
      <c r="C9" s="9"/>
      <c r="D9" s="9"/>
      <c r="E9" s="9"/>
      <c r="F9" s="9"/>
      <c r="G9" s="9"/>
      <c r="H9" s="9"/>
      <c r="I9" s="9"/>
      <c r="J9" s="9"/>
      <c r="K9" s="9"/>
      <c r="L9" s="9"/>
      <c r="M9" s="9"/>
      <c r="N9" s="9"/>
      <c r="O9" s="9"/>
      <c r="P9" s="10"/>
    </row>
    <row r="10" spans="1:33" ht="42" customHeight="1" thickBot="1" x14ac:dyDescent="0.25">
      <c r="A10" s="1" t="s">
        <v>273</v>
      </c>
      <c r="B10" s="133" t="s">
        <v>285</v>
      </c>
      <c r="C10" s="134"/>
      <c r="D10" s="134"/>
      <c r="E10" s="134"/>
      <c r="F10" s="134"/>
      <c r="G10" s="134"/>
      <c r="H10" s="134"/>
      <c r="I10" s="134"/>
      <c r="J10" s="134"/>
      <c r="K10" s="134"/>
      <c r="L10" s="134"/>
      <c r="M10" s="134"/>
      <c r="N10" s="134"/>
      <c r="O10" s="142"/>
      <c r="P10" s="143"/>
    </row>
    <row r="11" spans="1:33" x14ac:dyDescent="0.2">
      <c r="A11" s="135"/>
      <c r="B11" s="130"/>
      <c r="C11" s="130"/>
      <c r="D11" s="130"/>
      <c r="E11" s="130"/>
      <c r="F11" s="130"/>
      <c r="G11" s="130"/>
      <c r="H11" s="130"/>
      <c r="I11" s="130"/>
      <c r="J11" s="130"/>
      <c r="K11" s="130"/>
      <c r="L11" s="130"/>
      <c r="M11" s="130"/>
      <c r="N11" s="130"/>
      <c r="O11" s="130"/>
      <c r="P11" s="136"/>
      <c r="R11" t="s">
        <v>200</v>
      </c>
    </row>
    <row r="12" spans="1:33" x14ac:dyDescent="0.2">
      <c r="A12" s="137"/>
      <c r="B12" s="131"/>
      <c r="C12" s="131"/>
      <c r="D12" s="131"/>
      <c r="E12" s="131"/>
      <c r="F12" s="131"/>
      <c r="G12" s="131"/>
      <c r="H12" s="131"/>
      <c r="I12" s="131"/>
      <c r="J12" s="131"/>
      <c r="K12" s="131"/>
      <c r="L12" s="131"/>
      <c r="M12" s="131"/>
      <c r="N12" s="131"/>
      <c r="O12" s="131"/>
      <c r="P12" s="138"/>
    </row>
    <row r="13" spans="1:33" x14ac:dyDescent="0.2">
      <c r="A13" s="137"/>
      <c r="B13" s="131"/>
      <c r="C13" s="131"/>
      <c r="D13" s="131"/>
      <c r="E13" s="131"/>
      <c r="F13" s="131"/>
      <c r="G13" s="131"/>
      <c r="H13" s="131"/>
      <c r="I13" s="131"/>
      <c r="J13" s="131"/>
      <c r="K13" s="131"/>
      <c r="L13" s="131"/>
      <c r="M13" s="131"/>
      <c r="N13" s="131"/>
      <c r="O13" s="131"/>
      <c r="P13" s="138"/>
      <c r="R13" s="13" t="s">
        <v>12</v>
      </c>
    </row>
    <row r="14" spans="1:33" x14ac:dyDescent="0.2">
      <c r="A14" s="137"/>
      <c r="B14" s="131"/>
      <c r="C14" s="131"/>
      <c r="D14" s="131"/>
      <c r="E14" s="131"/>
      <c r="F14" s="131"/>
      <c r="G14" s="131"/>
      <c r="H14" s="131"/>
      <c r="I14" s="131"/>
      <c r="J14" s="131"/>
      <c r="K14" s="131"/>
      <c r="L14" s="131"/>
      <c r="M14" s="131"/>
      <c r="N14" s="131"/>
      <c r="O14" s="131"/>
      <c r="P14" s="138"/>
      <c r="R14" s="127" t="s">
        <v>201</v>
      </c>
      <c r="S14" s="128"/>
      <c r="T14" s="128"/>
      <c r="U14" s="128"/>
      <c r="V14" s="128"/>
      <c r="W14" s="128"/>
      <c r="X14" s="128"/>
      <c r="Y14" s="128"/>
      <c r="Z14" s="128"/>
      <c r="AA14" s="128"/>
      <c r="AB14" s="128"/>
      <c r="AC14" s="128"/>
      <c r="AD14" s="128"/>
      <c r="AE14" s="128"/>
      <c r="AF14" s="129"/>
      <c r="AG14" s="13"/>
    </row>
    <row r="15" spans="1:33" x14ac:dyDescent="0.2">
      <c r="A15" s="137"/>
      <c r="B15" s="131"/>
      <c r="C15" s="131"/>
      <c r="D15" s="131"/>
      <c r="E15" s="131"/>
      <c r="F15" s="131"/>
      <c r="G15" s="131"/>
      <c r="H15" s="131"/>
      <c r="I15" s="131"/>
      <c r="J15" s="131"/>
      <c r="K15" s="131"/>
      <c r="L15" s="131"/>
      <c r="M15" s="131"/>
      <c r="N15" s="131"/>
      <c r="O15" s="131"/>
      <c r="P15" s="138"/>
      <c r="R15" t="s">
        <v>7</v>
      </c>
    </row>
    <row r="16" spans="1:33" x14ac:dyDescent="0.2">
      <c r="A16" s="137"/>
      <c r="B16" s="131"/>
      <c r="C16" s="131"/>
      <c r="D16" s="131"/>
      <c r="E16" s="131"/>
      <c r="F16" s="131"/>
      <c r="G16" s="131"/>
      <c r="H16" s="131"/>
      <c r="I16" s="131"/>
      <c r="J16" s="131"/>
      <c r="K16" s="131"/>
      <c r="L16" s="131"/>
      <c r="M16" s="131"/>
      <c r="N16" s="131"/>
      <c r="O16" s="131"/>
      <c r="P16" s="138"/>
      <c r="R16" s="13" t="s">
        <v>6</v>
      </c>
      <c r="S16" s="13"/>
      <c r="T16" s="13"/>
      <c r="U16" s="13"/>
      <c r="V16" s="13"/>
      <c r="W16" s="13"/>
      <c r="X16" s="13"/>
      <c r="Y16" s="13"/>
      <c r="Z16" s="13"/>
      <c r="AA16" s="13"/>
      <c r="AB16" s="13"/>
      <c r="AC16" s="13"/>
      <c r="AD16" s="13"/>
      <c r="AE16" s="13"/>
      <c r="AF16" s="13"/>
    </row>
    <row r="17" spans="1:32" x14ac:dyDescent="0.2">
      <c r="A17" s="137"/>
      <c r="B17" s="131"/>
      <c r="C17" s="131"/>
      <c r="D17" s="131"/>
      <c r="E17" s="131"/>
      <c r="F17" s="131"/>
      <c r="G17" s="131"/>
      <c r="H17" s="131"/>
      <c r="I17" s="131"/>
      <c r="J17" s="131"/>
      <c r="K17" s="131"/>
      <c r="L17" s="131"/>
      <c r="M17" s="131"/>
      <c r="N17" s="131"/>
      <c r="O17" s="131"/>
      <c r="P17" s="138"/>
      <c r="R17" s="13" t="s">
        <v>4</v>
      </c>
    </row>
    <row r="18" spans="1:32" x14ac:dyDescent="0.2">
      <c r="A18" s="137"/>
      <c r="B18" s="131"/>
      <c r="C18" s="131"/>
      <c r="D18" s="131"/>
      <c r="E18" s="131"/>
      <c r="F18" s="131"/>
      <c r="G18" s="131"/>
      <c r="H18" s="131"/>
      <c r="I18" s="131"/>
      <c r="J18" s="131"/>
      <c r="K18" s="131"/>
      <c r="L18" s="131"/>
      <c r="M18" s="131"/>
      <c r="N18" s="131"/>
      <c r="O18" s="131"/>
      <c r="P18" s="138"/>
      <c r="R18" s="13" t="s">
        <v>5</v>
      </c>
    </row>
    <row r="19" spans="1:32" x14ac:dyDescent="0.2">
      <c r="A19" s="137"/>
      <c r="B19" s="131"/>
      <c r="C19" s="131"/>
      <c r="D19" s="131"/>
      <c r="E19" s="131"/>
      <c r="F19" s="131"/>
      <c r="G19" s="131"/>
      <c r="H19" s="131"/>
      <c r="I19" s="131"/>
      <c r="J19" s="131"/>
      <c r="K19" s="131"/>
      <c r="L19" s="131"/>
      <c r="M19" s="131"/>
      <c r="N19" s="131"/>
      <c r="O19" s="131"/>
      <c r="P19" s="138"/>
      <c r="R19" t="s">
        <v>9</v>
      </c>
    </row>
    <row r="20" spans="1:32" x14ac:dyDescent="0.2">
      <c r="A20" s="137"/>
      <c r="B20" s="131"/>
      <c r="C20" s="131"/>
      <c r="D20" s="131"/>
      <c r="E20" s="131"/>
      <c r="F20" s="131"/>
      <c r="G20" s="131"/>
      <c r="H20" s="131"/>
      <c r="I20" s="131"/>
      <c r="J20" s="131"/>
      <c r="K20" s="131"/>
      <c r="L20" s="131"/>
      <c r="M20" s="131"/>
      <c r="N20" s="131"/>
      <c r="O20" s="131"/>
      <c r="P20" s="138"/>
      <c r="R20" t="s">
        <v>13</v>
      </c>
    </row>
    <row r="21" spans="1:32" ht="15" thickBot="1" x14ac:dyDescent="0.25">
      <c r="A21" s="139"/>
      <c r="B21" s="140"/>
      <c r="C21" s="140"/>
      <c r="D21" s="140"/>
      <c r="E21" s="140"/>
      <c r="F21" s="140"/>
      <c r="G21" s="140"/>
      <c r="H21" s="140"/>
      <c r="I21" s="140"/>
      <c r="J21" s="140"/>
      <c r="K21" s="140"/>
      <c r="L21" s="140"/>
      <c r="M21" s="140"/>
      <c r="N21" s="140"/>
      <c r="O21" s="140"/>
      <c r="P21" s="141"/>
      <c r="R21" s="13" t="s">
        <v>10</v>
      </c>
    </row>
    <row r="22" spans="1:32" x14ac:dyDescent="0.2">
      <c r="A22" s="130"/>
      <c r="B22" s="130"/>
      <c r="C22" s="130"/>
      <c r="D22" s="130"/>
      <c r="E22" s="130"/>
      <c r="F22" s="130"/>
      <c r="G22" s="130"/>
      <c r="H22" s="130"/>
      <c r="I22" s="130"/>
      <c r="J22" s="130"/>
      <c r="K22" s="130"/>
      <c r="L22" s="130"/>
      <c r="M22" s="130"/>
      <c r="N22" s="130"/>
      <c r="O22" s="130"/>
      <c r="P22" s="130"/>
      <c r="R22" s="13" t="s">
        <v>11</v>
      </c>
    </row>
    <row r="23" spans="1:32" x14ac:dyDescent="0.2">
      <c r="A23" s="131"/>
      <c r="B23" s="131"/>
      <c r="C23" s="131"/>
      <c r="D23" s="131"/>
      <c r="E23" s="131"/>
      <c r="F23" s="131"/>
      <c r="G23" s="131"/>
      <c r="H23" s="131"/>
      <c r="I23" s="131"/>
      <c r="J23" s="131"/>
      <c r="K23" s="131"/>
      <c r="L23" s="131"/>
      <c r="M23" s="131"/>
      <c r="N23" s="131"/>
      <c r="O23" s="131"/>
      <c r="P23" s="131"/>
    </row>
    <row r="24" spans="1:32" x14ac:dyDescent="0.2">
      <c r="A24" s="131"/>
      <c r="B24" s="131"/>
      <c r="C24" s="131"/>
      <c r="D24" s="131"/>
      <c r="E24" s="131"/>
      <c r="F24" s="131"/>
      <c r="G24" s="131"/>
      <c r="H24" s="131"/>
      <c r="I24" s="131"/>
      <c r="J24" s="131"/>
      <c r="K24" s="131"/>
      <c r="L24" s="131"/>
      <c r="M24" s="131"/>
      <c r="N24" s="131"/>
      <c r="O24" s="131"/>
      <c r="P24" s="131"/>
      <c r="R24" s="127" t="s">
        <v>3</v>
      </c>
      <c r="S24" s="128"/>
      <c r="T24" s="128"/>
      <c r="U24" s="128"/>
      <c r="V24" s="128"/>
      <c r="W24" s="128"/>
      <c r="X24" s="128"/>
      <c r="Y24" s="128"/>
      <c r="Z24" s="128"/>
      <c r="AA24" s="128"/>
      <c r="AB24" s="128"/>
      <c r="AC24" s="128"/>
      <c r="AD24" s="128"/>
      <c r="AE24" s="128"/>
      <c r="AF24" s="129"/>
    </row>
    <row r="25" spans="1:32" x14ac:dyDescent="0.2">
      <c r="A25" s="131"/>
      <c r="B25" s="131"/>
      <c r="C25" s="131"/>
      <c r="D25" s="131"/>
      <c r="E25" s="131"/>
      <c r="F25" s="131"/>
      <c r="G25" s="131"/>
      <c r="H25" s="131"/>
      <c r="I25" s="131"/>
      <c r="J25" s="131"/>
      <c r="K25" s="131"/>
      <c r="L25" s="131"/>
      <c r="M25" s="131"/>
      <c r="N25" s="131"/>
      <c r="O25" s="131"/>
      <c r="P25" s="131"/>
      <c r="R25" s="127" t="s">
        <v>278</v>
      </c>
      <c r="S25" s="128"/>
      <c r="T25" s="128"/>
      <c r="U25" s="128"/>
      <c r="V25" s="128"/>
      <c r="W25" s="128"/>
      <c r="X25" s="128"/>
      <c r="Y25" s="128"/>
      <c r="Z25" s="128"/>
      <c r="AA25" s="128"/>
      <c r="AB25" s="128"/>
      <c r="AC25" s="128"/>
      <c r="AD25" s="128"/>
      <c r="AE25" s="128"/>
      <c r="AF25" s="129"/>
    </row>
    <row r="26" spans="1:32" x14ac:dyDescent="0.2">
      <c r="A26" s="131"/>
      <c r="B26" s="131"/>
      <c r="C26" s="131"/>
      <c r="D26" s="131"/>
      <c r="E26" s="131"/>
      <c r="F26" s="131"/>
      <c r="G26" s="131"/>
      <c r="H26" s="131"/>
      <c r="I26" s="131"/>
      <c r="J26" s="131"/>
      <c r="K26" s="131"/>
      <c r="L26" s="131"/>
      <c r="M26" s="131"/>
      <c r="N26" s="131"/>
      <c r="O26" s="131"/>
      <c r="P26" s="131"/>
      <c r="R26" s="127" t="s">
        <v>1</v>
      </c>
      <c r="S26" s="128"/>
      <c r="T26" s="128"/>
      <c r="U26" s="128"/>
      <c r="V26" s="128"/>
      <c r="W26" s="128"/>
      <c r="X26" s="128"/>
      <c r="Y26" s="128"/>
      <c r="Z26" s="128"/>
      <c r="AA26" s="128"/>
      <c r="AB26" s="128"/>
      <c r="AC26" s="128"/>
      <c r="AD26" s="128"/>
      <c r="AE26" s="128"/>
      <c r="AF26" s="129"/>
    </row>
    <row r="27" spans="1:32" x14ac:dyDescent="0.2">
      <c r="A27" s="131"/>
      <c r="B27" s="131"/>
      <c r="C27" s="131"/>
      <c r="D27" s="131"/>
      <c r="E27" s="131"/>
      <c r="F27" s="131"/>
      <c r="G27" s="131"/>
      <c r="H27" s="131"/>
      <c r="I27" s="131"/>
      <c r="J27" s="131"/>
      <c r="K27" s="131"/>
      <c r="L27" s="131"/>
      <c r="M27" s="131"/>
      <c r="N27" s="131"/>
      <c r="O27" s="131"/>
      <c r="P27" s="131"/>
      <c r="R27" s="127" t="s">
        <v>173</v>
      </c>
      <c r="S27" s="128"/>
      <c r="T27" s="128"/>
      <c r="U27" s="128"/>
      <c r="V27" s="128"/>
      <c r="W27" s="128"/>
      <c r="X27" s="128"/>
      <c r="Y27" s="128"/>
      <c r="Z27" s="128"/>
      <c r="AA27" s="128"/>
      <c r="AB27" s="128"/>
      <c r="AC27" s="128"/>
      <c r="AD27" s="128"/>
      <c r="AE27" s="128"/>
      <c r="AF27" s="129"/>
    </row>
    <row r="28" spans="1:32" x14ac:dyDescent="0.2">
      <c r="A28" s="131"/>
      <c r="B28" s="131"/>
      <c r="C28" s="131"/>
      <c r="D28" s="131"/>
      <c r="E28" s="131"/>
      <c r="F28" s="131"/>
      <c r="G28" s="131"/>
      <c r="H28" s="131"/>
      <c r="I28" s="131"/>
      <c r="J28" s="131"/>
      <c r="K28" s="131"/>
      <c r="L28" s="131"/>
      <c r="M28" s="131"/>
      <c r="N28" s="131"/>
      <c r="O28" s="131"/>
      <c r="P28" s="131"/>
      <c r="R28" s="127" t="s">
        <v>197</v>
      </c>
      <c r="S28" s="128"/>
      <c r="T28" s="128"/>
      <c r="U28" s="128"/>
      <c r="V28" s="128"/>
      <c r="W28" s="128"/>
      <c r="X28" s="128"/>
      <c r="Y28" s="128"/>
      <c r="Z28" s="128"/>
      <c r="AA28" s="128"/>
      <c r="AB28" s="128"/>
      <c r="AC28" s="128"/>
      <c r="AD28" s="128"/>
      <c r="AE28" s="128"/>
      <c r="AF28" s="129"/>
    </row>
    <row r="29" spans="1:32" x14ac:dyDescent="0.2">
      <c r="A29" s="131"/>
      <c r="B29" s="131"/>
      <c r="C29" s="131"/>
      <c r="D29" s="131"/>
      <c r="E29" s="131"/>
      <c r="F29" s="131"/>
      <c r="G29" s="131"/>
      <c r="H29" s="131"/>
      <c r="I29" s="131"/>
      <c r="J29" s="131"/>
      <c r="K29" s="131"/>
      <c r="L29" s="131"/>
      <c r="M29" s="131"/>
      <c r="N29" s="131"/>
      <c r="O29" s="131"/>
      <c r="P29" s="131"/>
      <c r="R29" s="127" t="s">
        <v>196</v>
      </c>
      <c r="S29" s="128"/>
      <c r="T29" s="128"/>
      <c r="U29" s="128"/>
      <c r="V29" s="128"/>
      <c r="W29" s="128"/>
      <c r="X29" s="128"/>
      <c r="Y29" s="128"/>
      <c r="Z29" s="128"/>
      <c r="AA29" s="128"/>
      <c r="AB29" s="128"/>
      <c r="AC29" s="128"/>
      <c r="AD29" s="128"/>
      <c r="AE29" s="128"/>
      <c r="AF29" s="129"/>
    </row>
    <row r="30" spans="1:32" x14ac:dyDescent="0.2">
      <c r="A30" s="131"/>
      <c r="B30" s="131"/>
      <c r="C30" s="131"/>
      <c r="D30" s="131"/>
      <c r="E30" s="131"/>
      <c r="F30" s="131"/>
      <c r="G30" s="131"/>
      <c r="H30" s="131"/>
      <c r="I30" s="131"/>
      <c r="J30" s="131"/>
      <c r="K30" s="131"/>
      <c r="L30" s="131"/>
      <c r="M30" s="131"/>
      <c r="N30" s="131"/>
      <c r="O30" s="131"/>
      <c r="P30" s="131"/>
    </row>
    <row r="31" spans="1:32" x14ac:dyDescent="0.2">
      <c r="A31" s="131"/>
      <c r="B31" s="131"/>
      <c r="C31" s="131"/>
      <c r="D31" s="131"/>
      <c r="E31" s="131"/>
      <c r="F31" s="131"/>
      <c r="G31" s="131"/>
      <c r="H31" s="131"/>
      <c r="I31" s="131"/>
      <c r="J31" s="131"/>
      <c r="K31" s="131"/>
      <c r="L31" s="131"/>
      <c r="M31" s="131"/>
      <c r="N31" s="131"/>
      <c r="O31" s="131"/>
      <c r="P31" s="131"/>
    </row>
    <row r="32" spans="1:32" x14ac:dyDescent="0.2">
      <c r="A32" s="131"/>
      <c r="B32" s="131"/>
      <c r="C32" s="131"/>
      <c r="D32" s="131"/>
      <c r="E32" s="131"/>
      <c r="F32" s="131"/>
      <c r="G32" s="131"/>
      <c r="H32" s="131"/>
      <c r="I32" s="131"/>
      <c r="J32" s="131"/>
      <c r="K32" s="131"/>
      <c r="L32" s="131"/>
      <c r="M32" s="131"/>
      <c r="N32" s="131"/>
      <c r="O32" s="131"/>
      <c r="P32" s="131"/>
    </row>
    <row r="33" spans="1:16" x14ac:dyDescent="0.2">
      <c r="A33" s="131"/>
      <c r="B33" s="131"/>
      <c r="C33" s="131"/>
      <c r="D33" s="131"/>
      <c r="E33" s="131"/>
      <c r="F33" s="131"/>
      <c r="G33" s="131"/>
      <c r="H33" s="131"/>
      <c r="I33" s="131"/>
      <c r="J33" s="131"/>
      <c r="K33" s="131"/>
      <c r="L33" s="131"/>
      <c r="M33" s="131"/>
      <c r="N33" s="131"/>
      <c r="O33" s="131"/>
      <c r="P33" s="131"/>
    </row>
    <row r="34" spans="1:16" x14ac:dyDescent="0.2">
      <c r="A34" s="131"/>
      <c r="B34" s="131"/>
      <c r="C34" s="131"/>
      <c r="D34" s="131"/>
      <c r="E34" s="131"/>
      <c r="F34" s="131"/>
      <c r="G34" s="131"/>
      <c r="H34" s="131"/>
      <c r="I34" s="131"/>
      <c r="J34" s="131"/>
      <c r="K34" s="131"/>
      <c r="L34" s="131"/>
      <c r="M34" s="131"/>
      <c r="N34" s="131"/>
      <c r="O34" s="131"/>
      <c r="P34" s="131"/>
    </row>
    <row r="35" spans="1:16" ht="4.5" customHeight="1" x14ac:dyDescent="0.2">
      <c r="A35" s="131"/>
      <c r="B35" s="131"/>
      <c r="C35" s="131"/>
      <c r="D35" s="131"/>
      <c r="E35" s="131"/>
      <c r="F35" s="131"/>
      <c r="G35" s="131"/>
      <c r="H35" s="131"/>
      <c r="I35" s="131"/>
      <c r="J35" s="131"/>
      <c r="K35" s="131"/>
      <c r="L35" s="131"/>
      <c r="M35" s="131"/>
      <c r="N35" s="131"/>
      <c r="O35" s="131"/>
      <c r="P35" s="131"/>
    </row>
    <row r="36" spans="1:16" x14ac:dyDescent="0.2">
      <c r="A36" s="131"/>
      <c r="B36" s="131"/>
      <c r="C36" s="131"/>
      <c r="D36" s="131"/>
      <c r="E36" s="131"/>
      <c r="F36" s="131"/>
      <c r="G36" s="131"/>
      <c r="H36" s="131"/>
      <c r="I36" s="131"/>
      <c r="J36" s="131"/>
      <c r="K36" s="131"/>
      <c r="L36" s="131"/>
      <c r="M36" s="131"/>
      <c r="N36" s="131"/>
      <c r="O36" s="131"/>
      <c r="P36" s="131"/>
    </row>
    <row r="37" spans="1:16" ht="3" customHeight="1" x14ac:dyDescent="0.2">
      <c r="A37" s="131"/>
      <c r="B37" s="131"/>
      <c r="C37" s="131"/>
      <c r="D37" s="131"/>
      <c r="E37" s="131"/>
      <c r="F37" s="131"/>
      <c r="G37" s="131"/>
      <c r="H37" s="131"/>
      <c r="I37" s="131"/>
      <c r="J37" s="131"/>
      <c r="K37" s="131"/>
      <c r="L37" s="131"/>
      <c r="M37" s="131"/>
      <c r="N37" s="131"/>
      <c r="O37" s="131"/>
      <c r="P37" s="131"/>
    </row>
    <row r="38" spans="1:16" ht="14.25" hidden="1" customHeight="1" x14ac:dyDescent="0.2">
      <c r="A38" s="131"/>
      <c r="B38" s="131"/>
      <c r="C38" s="131"/>
      <c r="D38" s="131"/>
      <c r="E38" s="131"/>
      <c r="F38" s="131"/>
      <c r="G38" s="131"/>
      <c r="H38" s="131"/>
      <c r="I38" s="131"/>
      <c r="J38" s="131"/>
      <c r="K38" s="131"/>
      <c r="L38" s="131"/>
      <c r="M38" s="131"/>
      <c r="N38" s="131"/>
      <c r="O38" s="131"/>
      <c r="P38" s="131"/>
    </row>
    <row r="39" spans="1:16" x14ac:dyDescent="0.2">
      <c r="A39" s="132"/>
      <c r="B39" s="132"/>
      <c r="C39" s="132"/>
      <c r="D39" s="132"/>
      <c r="E39" s="132"/>
      <c r="F39" s="132"/>
      <c r="G39" s="132"/>
      <c r="H39" s="132"/>
      <c r="I39" s="132"/>
      <c r="J39" s="132"/>
      <c r="K39" s="132"/>
      <c r="L39" s="132"/>
      <c r="M39" s="132"/>
      <c r="N39" s="132"/>
      <c r="O39" s="132"/>
      <c r="P39" s="132"/>
    </row>
    <row r="40" spans="1:16" x14ac:dyDescent="0.2">
      <c r="A40" s="14" t="s">
        <v>131</v>
      </c>
      <c r="B40" s="127" t="s">
        <v>250</v>
      </c>
      <c r="C40" s="128"/>
      <c r="D40" s="128"/>
      <c r="E40" s="128"/>
      <c r="F40" s="128"/>
      <c r="G40" s="128"/>
      <c r="H40" s="128"/>
      <c r="I40" s="128"/>
      <c r="J40" s="128"/>
      <c r="K40" s="128"/>
      <c r="L40" s="128"/>
      <c r="M40" s="128"/>
      <c r="N40" s="128"/>
      <c r="O40" s="128"/>
      <c r="P40" s="129"/>
    </row>
    <row r="41" spans="1:16" x14ac:dyDescent="0.2">
      <c r="A41" t="s">
        <v>123</v>
      </c>
      <c r="B41" s="127" t="s">
        <v>277</v>
      </c>
      <c r="C41" s="128"/>
      <c r="D41" s="128"/>
      <c r="E41" s="128"/>
      <c r="F41" s="128"/>
      <c r="G41" s="128"/>
      <c r="H41" s="128"/>
      <c r="I41" s="128"/>
      <c r="J41" s="128"/>
      <c r="K41" s="128"/>
      <c r="L41" s="128"/>
      <c r="M41" s="128"/>
      <c r="N41" s="128"/>
      <c r="O41" s="128"/>
      <c r="P41" s="129"/>
    </row>
    <row r="42" spans="1:16" x14ac:dyDescent="0.2">
      <c r="A42" t="s">
        <v>124</v>
      </c>
      <c r="B42" s="127" t="s">
        <v>0</v>
      </c>
      <c r="C42" s="128"/>
      <c r="D42" s="128"/>
      <c r="E42" s="128"/>
      <c r="F42" s="128"/>
      <c r="G42" s="128"/>
      <c r="H42" s="128"/>
      <c r="I42" s="128"/>
      <c r="J42" s="128"/>
      <c r="K42" s="128"/>
      <c r="L42" s="128"/>
      <c r="M42" s="128"/>
      <c r="N42" s="128"/>
      <c r="O42" s="128"/>
      <c r="P42" s="129"/>
    </row>
    <row r="43" spans="1:16" x14ac:dyDescent="0.2">
      <c r="A43" t="s">
        <v>126</v>
      </c>
      <c r="B43" s="127" t="s">
        <v>0</v>
      </c>
      <c r="C43" s="128"/>
      <c r="D43" s="128"/>
      <c r="E43" s="128"/>
      <c r="F43" s="128"/>
      <c r="G43" s="128"/>
      <c r="H43" s="128"/>
      <c r="I43" s="128"/>
      <c r="J43" s="128"/>
      <c r="K43" s="128"/>
      <c r="L43" s="128"/>
      <c r="M43" s="128"/>
      <c r="N43" s="128"/>
      <c r="O43" s="128"/>
      <c r="P43" s="129"/>
    </row>
    <row r="44" spans="1:16" x14ac:dyDescent="0.2">
      <c r="A44" t="s">
        <v>125</v>
      </c>
      <c r="B44" s="53" t="s">
        <v>0</v>
      </c>
      <c r="C44" s="54"/>
      <c r="D44" s="54"/>
      <c r="E44" s="54"/>
      <c r="F44" s="54"/>
      <c r="G44" s="54"/>
      <c r="H44" s="54"/>
      <c r="I44" s="54"/>
      <c r="J44" s="54"/>
      <c r="K44" s="54"/>
      <c r="L44" s="54"/>
      <c r="M44" s="54"/>
      <c r="N44" s="54"/>
      <c r="O44" s="54"/>
      <c r="P44" s="55"/>
    </row>
  </sheetData>
  <dataConsolidate/>
  <mergeCells count="15">
    <mergeCell ref="B43:P43"/>
    <mergeCell ref="B40:P40"/>
    <mergeCell ref="B42:P42"/>
    <mergeCell ref="B10:N10"/>
    <mergeCell ref="A11:P21"/>
    <mergeCell ref="O10:P10"/>
    <mergeCell ref="B41:P41"/>
    <mergeCell ref="R14:AF14"/>
    <mergeCell ref="R24:AF24"/>
    <mergeCell ref="A22:P39"/>
    <mergeCell ref="R26:AF26"/>
    <mergeCell ref="R25:AF25"/>
    <mergeCell ref="R27:AF27"/>
    <mergeCell ref="R28:AF28"/>
    <mergeCell ref="R29:AF29"/>
  </mergeCells>
  <phoneticPr fontId="3" type="noConversion"/>
  <pageMargins left="0.7" right="0.7" top="0.75" bottom="0.75" header="0.3" footer="0.3"/>
  <pageSetup paperSize="9" orientation="portrait" r:id="rId1"/>
  <drawing r:id="rId2"/>
  <legacyDrawing r:id="rId3"/>
  <controls>
    <mc:AlternateContent xmlns:mc="http://schemas.openxmlformats.org/markup-compatibility/2006">
      <mc:Choice Requires="x14">
        <control shapeId="60218" r:id="rId4" name="BtnAllBufs">
          <controlPr autoLine="0" r:id="rId5">
            <anchor moveWithCells="1">
              <from>
                <xdr:col>6</xdr:col>
                <xdr:colOff>276225</xdr:colOff>
                <xdr:row>18</xdr:row>
                <xdr:rowOff>66675</xdr:rowOff>
              </from>
              <to>
                <xdr:col>8</xdr:col>
                <xdr:colOff>571500</xdr:colOff>
                <xdr:row>20</xdr:row>
                <xdr:rowOff>9525</xdr:rowOff>
              </to>
            </anchor>
          </controlPr>
        </control>
      </mc:Choice>
      <mc:Fallback>
        <control shapeId="60218" r:id="rId4" name="BtnAllBufs"/>
      </mc:Fallback>
    </mc:AlternateContent>
    <mc:AlternateContent xmlns:mc="http://schemas.openxmlformats.org/markup-compatibility/2006">
      <mc:Choice Requires="x14">
        <control shapeId="57427" r:id="rId6" name="viewLEDS">
          <controlPr defaultSize="0" autoLine="0" r:id="rId7">
            <anchor moveWithCells="1">
              <from>
                <xdr:col>14</xdr:col>
                <xdr:colOff>657225</xdr:colOff>
                <xdr:row>0</xdr:row>
                <xdr:rowOff>133350</xdr:rowOff>
              </from>
              <to>
                <xdr:col>15</xdr:col>
                <xdr:colOff>723900</xdr:colOff>
                <xdr:row>2</xdr:row>
                <xdr:rowOff>9525</xdr:rowOff>
              </to>
            </anchor>
          </controlPr>
        </control>
      </mc:Choice>
      <mc:Fallback>
        <control shapeId="57427" r:id="rId6" name="viewLEDS"/>
      </mc:Fallback>
    </mc:AlternateContent>
    <mc:AlternateContent xmlns:mc="http://schemas.openxmlformats.org/markup-compatibility/2006">
      <mc:Choice Requires="x14">
        <control shapeId="50205" r:id="rId8" name="Effect">
          <controlPr defaultSize="0" autoLine="0" r:id="rId9">
            <anchor moveWithCells="1">
              <from>
                <xdr:col>13</xdr:col>
                <xdr:colOff>323850</xdr:colOff>
                <xdr:row>18</xdr:row>
                <xdr:rowOff>161925</xdr:rowOff>
              </from>
              <to>
                <xdr:col>14</xdr:col>
                <xdr:colOff>390525</xdr:colOff>
                <xdr:row>20</xdr:row>
                <xdr:rowOff>38100</xdr:rowOff>
              </to>
            </anchor>
          </controlPr>
        </control>
      </mc:Choice>
      <mc:Fallback>
        <control shapeId="50205" r:id="rId8" name="Effect"/>
      </mc:Fallback>
    </mc:AlternateContent>
    <mc:AlternateContent xmlns:mc="http://schemas.openxmlformats.org/markup-compatibility/2006">
      <mc:Choice Requires="x14">
        <control shapeId="40377" r:id="rId10" name="AddString">
          <controlPr autoLine="0" r:id="rId11">
            <anchor moveWithCells="1">
              <from>
                <xdr:col>14</xdr:col>
                <xdr:colOff>504825</xdr:colOff>
                <xdr:row>18</xdr:row>
                <xdr:rowOff>123825</xdr:rowOff>
              </from>
              <to>
                <xdr:col>15</xdr:col>
                <xdr:colOff>523875</xdr:colOff>
                <xdr:row>20</xdr:row>
                <xdr:rowOff>66675</xdr:rowOff>
              </to>
            </anchor>
          </controlPr>
        </control>
      </mc:Choice>
      <mc:Fallback>
        <control shapeId="40377" r:id="rId10" name="AddString"/>
      </mc:Fallback>
    </mc:AlternateContent>
    <mc:AlternateContent xmlns:mc="http://schemas.openxmlformats.org/markup-compatibility/2006">
      <mc:Choice Requires="x14">
        <control shapeId="40263" r:id="rId12" name="FontSelect">
          <controlPr defaultSize="0" autoLine="0" r:id="rId13">
            <anchor moveWithCells="1">
              <from>
                <xdr:col>12</xdr:col>
                <xdr:colOff>180975</xdr:colOff>
                <xdr:row>18</xdr:row>
                <xdr:rowOff>171450</xdr:rowOff>
              </from>
              <to>
                <xdr:col>13</xdr:col>
                <xdr:colOff>247650</xdr:colOff>
                <xdr:row>20</xdr:row>
                <xdr:rowOff>47625</xdr:rowOff>
              </to>
            </anchor>
          </controlPr>
        </control>
      </mc:Choice>
      <mc:Fallback>
        <control shapeId="40263" r:id="rId12" name="FontSelect"/>
      </mc:Fallback>
    </mc:AlternateContent>
    <mc:AlternateContent xmlns:mc="http://schemas.openxmlformats.org/markup-compatibility/2006">
      <mc:Choice Requires="x14">
        <control shapeId="17959" r:id="rId14" name="BtnRowCol">
          <controlPr autoLine="0" r:id="rId15">
            <anchor moveWithCells="1">
              <from>
                <xdr:col>9</xdr:col>
                <xdr:colOff>142875</xdr:colOff>
                <xdr:row>15</xdr:row>
                <xdr:rowOff>57150</xdr:rowOff>
              </from>
              <to>
                <xdr:col>9</xdr:col>
                <xdr:colOff>638175</xdr:colOff>
                <xdr:row>19</xdr:row>
                <xdr:rowOff>38100</xdr:rowOff>
              </to>
            </anchor>
          </controlPr>
        </control>
      </mc:Choice>
      <mc:Fallback>
        <control shapeId="17959" r:id="rId14" name="BtnRowCol"/>
      </mc:Fallback>
    </mc:AlternateContent>
    <mc:AlternateContent xmlns:mc="http://schemas.openxmlformats.org/markup-compatibility/2006">
      <mc:Choice Requires="x14">
        <control shapeId="17654" r:id="rId16" name="BtnColRow">
          <controlPr autoLine="0" r:id="rId17">
            <anchor moveWithCells="1">
              <from>
                <xdr:col>11</xdr:col>
                <xdr:colOff>76200</xdr:colOff>
                <xdr:row>15</xdr:row>
                <xdr:rowOff>57150</xdr:rowOff>
              </from>
              <to>
                <xdr:col>11</xdr:col>
                <xdr:colOff>609600</xdr:colOff>
                <xdr:row>19</xdr:row>
                <xdr:rowOff>38100</xdr:rowOff>
              </to>
            </anchor>
          </controlPr>
        </control>
      </mc:Choice>
      <mc:Fallback>
        <control shapeId="17654" r:id="rId16" name="BtnColRow"/>
      </mc:Fallback>
    </mc:AlternateContent>
    <mc:AlternateContent xmlns:mc="http://schemas.openxmlformats.org/markup-compatibility/2006">
      <mc:Choice Requires="x14">
        <control shapeId="17653" r:id="rId18" name="BtnRows">
          <controlPr autoLine="0" r:id="rId19">
            <anchor moveWithCells="1">
              <from>
                <xdr:col>9</xdr:col>
                <xdr:colOff>676275</xdr:colOff>
                <xdr:row>17</xdr:row>
                <xdr:rowOff>95250</xdr:rowOff>
              </from>
              <to>
                <xdr:col>11</xdr:col>
                <xdr:colOff>28575</xdr:colOff>
                <xdr:row>19</xdr:row>
                <xdr:rowOff>38100</xdr:rowOff>
              </to>
            </anchor>
          </controlPr>
        </control>
      </mc:Choice>
      <mc:Fallback>
        <control shapeId="17653" r:id="rId18" name="BtnRows"/>
      </mc:Fallback>
    </mc:AlternateContent>
    <mc:AlternateContent xmlns:mc="http://schemas.openxmlformats.org/markup-compatibility/2006">
      <mc:Choice Requires="x14">
        <control shapeId="17652" r:id="rId20" name="ComboRows">
          <controlPr defaultSize="0" autoLine="0" r:id="rId21">
            <anchor moveWithCells="1">
              <from>
                <xdr:col>9</xdr:col>
                <xdr:colOff>542925</xdr:colOff>
                <xdr:row>13</xdr:row>
                <xdr:rowOff>114300</xdr:rowOff>
              </from>
              <to>
                <xdr:col>11</xdr:col>
                <xdr:colOff>600075</xdr:colOff>
                <xdr:row>14</xdr:row>
                <xdr:rowOff>171450</xdr:rowOff>
              </to>
            </anchor>
          </controlPr>
        </control>
      </mc:Choice>
      <mc:Fallback>
        <control shapeId="17652" r:id="rId20" name="ComboRows"/>
      </mc:Fallback>
    </mc:AlternateContent>
    <mc:AlternateContent xmlns:mc="http://schemas.openxmlformats.org/markup-compatibility/2006">
      <mc:Choice Requires="x14">
        <control shapeId="15639" r:id="rId22" name="ComboColumns">
          <controlPr defaultSize="0" autoLine="0" r:id="rId23">
            <anchor moveWithCells="1">
              <from>
                <xdr:col>9</xdr:col>
                <xdr:colOff>542925</xdr:colOff>
                <xdr:row>12</xdr:row>
                <xdr:rowOff>38100</xdr:rowOff>
              </from>
              <to>
                <xdr:col>11</xdr:col>
                <xdr:colOff>600075</xdr:colOff>
                <xdr:row>13</xdr:row>
                <xdr:rowOff>95250</xdr:rowOff>
              </to>
            </anchor>
          </controlPr>
        </control>
      </mc:Choice>
      <mc:Fallback>
        <control shapeId="15639" r:id="rId22" name="ComboColumns"/>
      </mc:Fallback>
    </mc:AlternateContent>
    <mc:AlternateContent xmlns:mc="http://schemas.openxmlformats.org/markup-compatibility/2006">
      <mc:Choice Requires="x14">
        <control shapeId="15637" r:id="rId24" name="BtnColumns">
          <controlPr autoLine="0" r:id="rId25">
            <anchor moveWithCells="1">
              <from>
                <xdr:col>9</xdr:col>
                <xdr:colOff>676275</xdr:colOff>
                <xdr:row>15</xdr:row>
                <xdr:rowOff>57150</xdr:rowOff>
              </from>
              <to>
                <xdr:col>11</xdr:col>
                <xdr:colOff>47625</xdr:colOff>
                <xdr:row>17</xdr:row>
                <xdr:rowOff>0</xdr:rowOff>
              </to>
            </anchor>
          </controlPr>
        </control>
      </mc:Choice>
      <mc:Fallback>
        <control shapeId="15637" r:id="rId24" name="BtnColumns"/>
      </mc:Fallback>
    </mc:AlternateContent>
    <mc:AlternateContent xmlns:mc="http://schemas.openxmlformats.org/markup-compatibility/2006">
      <mc:Choice Requires="x14">
        <control shapeId="7174" r:id="rId26" name="BtnEraseCmd">
          <controlPr autoLine="0" r:id="rId27">
            <anchor moveWithCells="1">
              <from>
                <xdr:col>13</xdr:col>
                <xdr:colOff>352425</xdr:colOff>
                <xdr:row>14</xdr:row>
                <xdr:rowOff>133350</xdr:rowOff>
              </from>
              <to>
                <xdr:col>15</xdr:col>
                <xdr:colOff>152400</xdr:colOff>
                <xdr:row>16</xdr:row>
                <xdr:rowOff>76200</xdr:rowOff>
              </to>
            </anchor>
          </controlPr>
        </control>
      </mc:Choice>
      <mc:Fallback>
        <control shapeId="7174" r:id="rId26" name="BtnEraseCmd"/>
      </mc:Fallback>
    </mc:AlternateContent>
    <mc:AlternateContent xmlns:mc="http://schemas.openxmlformats.org/markup-compatibility/2006">
      <mc:Choice Requires="x14">
        <control shapeId="5756" r:id="rId28" name="BtnAdd">
          <controlPr autoLine="0" r:id="rId29">
            <anchor moveWithCells="1">
              <from>
                <xdr:col>13</xdr:col>
                <xdr:colOff>342900</xdr:colOff>
                <xdr:row>12</xdr:row>
                <xdr:rowOff>114300</xdr:rowOff>
              </from>
              <to>
                <xdr:col>15</xdr:col>
                <xdr:colOff>142875</xdr:colOff>
                <xdr:row>14</xdr:row>
                <xdr:rowOff>57150</xdr:rowOff>
              </to>
            </anchor>
          </controlPr>
        </control>
      </mc:Choice>
      <mc:Fallback>
        <control shapeId="5756" r:id="rId28" name="BtnAdd"/>
      </mc:Fallback>
    </mc:AlternateContent>
    <mc:AlternateContent xmlns:mc="http://schemas.openxmlformats.org/markup-compatibility/2006">
      <mc:Choice Requires="x14">
        <control shapeId="5755" r:id="rId30" name="CbAutoAdd">
          <controlPr autoLine="0" linkedCell="B5" r:id="rId31">
            <anchor moveWithCells="1">
              <from>
                <xdr:col>12</xdr:col>
                <xdr:colOff>180975</xdr:colOff>
                <xdr:row>12</xdr:row>
                <xdr:rowOff>142875</xdr:rowOff>
              </from>
              <to>
                <xdr:col>13</xdr:col>
                <xdr:colOff>352425</xdr:colOff>
                <xdr:row>14</xdr:row>
                <xdr:rowOff>38100</xdr:rowOff>
              </to>
            </anchor>
          </controlPr>
        </control>
      </mc:Choice>
      <mc:Fallback>
        <control shapeId="5755" r:id="rId30" name="CbAutoAdd"/>
      </mc:Fallback>
    </mc:AlternateContent>
    <mc:AlternateContent xmlns:mc="http://schemas.openxmlformats.org/markup-compatibility/2006">
      <mc:Choice Requires="x14">
        <control shapeId="5754" r:id="rId32" name="AllCommands">
          <controlPr defaultSize="0" autoLine="0" r:id="rId33">
            <anchor moveWithCells="1">
              <from>
                <xdr:col>0</xdr:col>
                <xdr:colOff>257175</xdr:colOff>
                <xdr:row>22</xdr:row>
                <xdr:rowOff>114300</xdr:rowOff>
              </from>
              <to>
                <xdr:col>14</xdr:col>
                <xdr:colOff>38100</xdr:colOff>
                <xdr:row>38</xdr:row>
                <xdr:rowOff>95250</xdr:rowOff>
              </to>
            </anchor>
          </controlPr>
        </control>
      </mc:Choice>
      <mc:Fallback>
        <control shapeId="5754" r:id="rId32" name="AllCommands"/>
      </mc:Fallback>
    </mc:AlternateContent>
    <mc:AlternateContent xmlns:mc="http://schemas.openxmlformats.org/markup-compatibility/2006">
      <mc:Choice Requires="x14">
        <control shapeId="1217" r:id="rId34" name="CbRotate">
          <controlPr autoLine="0" linkedCell="B2" r:id="rId35">
            <anchor moveWithCells="1">
              <from>
                <xdr:col>8</xdr:col>
                <xdr:colOff>38100</xdr:colOff>
                <xdr:row>12</xdr:row>
                <xdr:rowOff>152400</xdr:rowOff>
              </from>
              <to>
                <xdr:col>8</xdr:col>
                <xdr:colOff>676275</xdr:colOff>
                <xdr:row>14</xdr:row>
                <xdr:rowOff>47625</xdr:rowOff>
              </to>
            </anchor>
          </controlPr>
        </control>
      </mc:Choice>
      <mc:Fallback>
        <control shapeId="1217" r:id="rId34" name="CbRotate"/>
      </mc:Fallback>
    </mc:AlternateContent>
    <mc:AlternateContent xmlns:mc="http://schemas.openxmlformats.org/markup-compatibility/2006">
      <mc:Choice Requires="x14">
        <control shapeId="1216" r:id="rId36" name="CbFill">
          <controlPr autoLine="0" linkedCell="B3" r:id="rId37">
            <anchor moveWithCells="1">
              <from>
                <xdr:col>8</xdr:col>
                <xdr:colOff>28575</xdr:colOff>
                <xdr:row>14</xdr:row>
                <xdr:rowOff>28575</xdr:rowOff>
              </from>
              <to>
                <xdr:col>8</xdr:col>
                <xdr:colOff>666750</xdr:colOff>
                <xdr:row>15</xdr:row>
                <xdr:rowOff>66675</xdr:rowOff>
              </to>
            </anchor>
          </controlPr>
        </control>
      </mc:Choice>
      <mc:Fallback>
        <control shapeId="1216" r:id="rId36" name="CbFill"/>
      </mc:Fallback>
    </mc:AlternateContent>
    <mc:AlternateContent xmlns:mc="http://schemas.openxmlformats.org/markup-compatibility/2006">
      <mc:Choice Requires="x14">
        <control shapeId="1215" r:id="rId38" name="CbHighRes">
          <controlPr autoLine="0" linkedCell="B4" r:id="rId39">
            <anchor moveWithCells="1">
              <from>
                <xdr:col>1</xdr:col>
                <xdr:colOff>400050</xdr:colOff>
                <xdr:row>10</xdr:row>
                <xdr:rowOff>133350</xdr:rowOff>
              </from>
              <to>
                <xdr:col>2</xdr:col>
                <xdr:colOff>552450</xdr:colOff>
                <xdr:row>12</xdr:row>
                <xdr:rowOff>28575</xdr:rowOff>
              </to>
            </anchor>
          </controlPr>
        </control>
      </mc:Choice>
      <mc:Fallback>
        <control shapeId="1215" r:id="rId38" name="CbHighRes"/>
      </mc:Fallback>
    </mc:AlternateContent>
    <mc:AlternateContent xmlns:mc="http://schemas.openxmlformats.org/markup-compatibility/2006">
      <mc:Choice Requires="x14">
        <control shapeId="1214" r:id="rId40" name="BtnErase">
          <controlPr autoLine="0" r:id="rId41">
            <anchor moveWithCells="1">
              <from>
                <xdr:col>4</xdr:col>
                <xdr:colOff>276225</xdr:colOff>
                <xdr:row>13</xdr:row>
                <xdr:rowOff>38100</xdr:rowOff>
              </from>
              <to>
                <xdr:col>5</xdr:col>
                <xdr:colOff>257175</xdr:colOff>
                <xdr:row>14</xdr:row>
                <xdr:rowOff>161925</xdr:rowOff>
              </to>
            </anchor>
          </controlPr>
        </control>
      </mc:Choice>
      <mc:Fallback>
        <control shapeId="1214" r:id="rId40" name="BtnErase"/>
      </mc:Fallback>
    </mc:AlternateContent>
    <mc:AlternateContent xmlns:mc="http://schemas.openxmlformats.org/markup-compatibility/2006">
      <mc:Choice Requires="x14">
        <control shapeId="1213" r:id="rId42" name="BtnFill">
          <controlPr autoLine="0" r:id="rId43">
            <anchor moveWithCells="1">
              <from>
                <xdr:col>3</xdr:col>
                <xdr:colOff>133350</xdr:colOff>
                <xdr:row>13</xdr:row>
                <xdr:rowOff>38100</xdr:rowOff>
              </from>
              <to>
                <xdr:col>4</xdr:col>
                <xdr:colOff>133350</xdr:colOff>
                <xdr:row>14</xdr:row>
                <xdr:rowOff>161925</xdr:rowOff>
              </to>
            </anchor>
          </controlPr>
        </control>
      </mc:Choice>
      <mc:Fallback>
        <control shapeId="1213" r:id="rId42" name="BtnFill"/>
      </mc:Fallback>
    </mc:AlternateContent>
    <mc:AlternateContent xmlns:mc="http://schemas.openxmlformats.org/markup-compatibility/2006">
      <mc:Choice Requires="x14">
        <control shapeId="1212" r:id="rId44" name="BtnUp">
          <controlPr autoLine="0" r:id="rId45">
            <anchor moveWithCells="1">
              <from>
                <xdr:col>6</xdr:col>
                <xdr:colOff>276225</xdr:colOff>
                <xdr:row>12</xdr:row>
                <xdr:rowOff>123825</xdr:rowOff>
              </from>
              <to>
                <xdr:col>7</xdr:col>
                <xdr:colOff>647700</xdr:colOff>
                <xdr:row>14</xdr:row>
                <xdr:rowOff>66675</xdr:rowOff>
              </to>
            </anchor>
          </controlPr>
        </control>
      </mc:Choice>
      <mc:Fallback>
        <control shapeId="1212" r:id="rId44" name="BtnUp"/>
      </mc:Fallback>
    </mc:AlternateContent>
    <mc:AlternateContent xmlns:mc="http://schemas.openxmlformats.org/markup-compatibility/2006">
      <mc:Choice Requires="x14">
        <control shapeId="1211" r:id="rId46" name="BtnDown">
          <controlPr autoLine="0" r:id="rId47">
            <anchor moveWithCells="1">
              <from>
                <xdr:col>6</xdr:col>
                <xdr:colOff>266700</xdr:colOff>
                <xdr:row>16</xdr:row>
                <xdr:rowOff>38100</xdr:rowOff>
              </from>
              <to>
                <xdr:col>7</xdr:col>
                <xdr:colOff>647700</xdr:colOff>
                <xdr:row>17</xdr:row>
                <xdr:rowOff>161925</xdr:rowOff>
              </to>
            </anchor>
          </controlPr>
        </control>
      </mc:Choice>
      <mc:Fallback>
        <control shapeId="1211" r:id="rId46" name="BtnDown"/>
      </mc:Fallback>
    </mc:AlternateContent>
    <mc:AlternateContent xmlns:mc="http://schemas.openxmlformats.org/markup-compatibility/2006">
      <mc:Choice Requires="x14">
        <control shapeId="1210" r:id="rId48" name="BtnRight">
          <controlPr autoLine="0" r:id="rId49">
            <anchor moveWithCells="1">
              <from>
                <xdr:col>7</xdr:col>
                <xdr:colOff>95250</xdr:colOff>
                <xdr:row>14</xdr:row>
                <xdr:rowOff>85725</xdr:rowOff>
              </from>
              <to>
                <xdr:col>7</xdr:col>
                <xdr:colOff>657225</xdr:colOff>
                <xdr:row>16</xdr:row>
                <xdr:rowOff>28575</xdr:rowOff>
              </to>
            </anchor>
          </controlPr>
        </control>
      </mc:Choice>
      <mc:Fallback>
        <control shapeId="1210" r:id="rId48" name="BtnRight"/>
      </mc:Fallback>
    </mc:AlternateContent>
    <mc:AlternateContent xmlns:mc="http://schemas.openxmlformats.org/markup-compatibility/2006">
      <mc:Choice Requires="x14">
        <control shapeId="1209" r:id="rId50" name="BtnLeft">
          <controlPr autoLine="0" r:id="rId51">
            <anchor moveWithCells="1">
              <from>
                <xdr:col>6</xdr:col>
                <xdr:colOff>266700</xdr:colOff>
                <xdr:row>14</xdr:row>
                <xdr:rowOff>85725</xdr:rowOff>
              </from>
              <to>
                <xdr:col>7</xdr:col>
                <xdr:colOff>57150</xdr:colOff>
                <xdr:row>16</xdr:row>
                <xdr:rowOff>28575</xdr:rowOff>
              </to>
            </anchor>
          </controlPr>
        </control>
      </mc:Choice>
      <mc:Fallback>
        <control shapeId="1209" r:id="rId50" name="BtnLeft"/>
      </mc:Fallback>
    </mc:AlternateContent>
    <mc:AlternateContent xmlns:mc="http://schemas.openxmlformats.org/markup-compatibility/2006">
      <mc:Choice Requires="x14">
        <control shapeId="90792" r:id="rId52" name="btnEraseLed">
          <controlPr autoLine="0" r:id="rId53">
            <anchor moveWithCells="1">
              <from>
                <xdr:col>14</xdr:col>
                <xdr:colOff>209550</xdr:colOff>
                <xdr:row>22</xdr:row>
                <xdr:rowOff>114300</xdr:rowOff>
              </from>
              <to>
                <xdr:col>15</xdr:col>
                <xdr:colOff>400050</xdr:colOff>
                <xdr:row>25</xdr:row>
                <xdr:rowOff>104775</xdr:rowOff>
              </to>
            </anchor>
          </controlPr>
        </control>
      </mc:Choice>
      <mc:Fallback>
        <control shapeId="90792" r:id="rId52" name="btnEraseLed"/>
      </mc:Fallback>
    </mc:AlternateContent>
    <mc:AlternateContent xmlns:mc="http://schemas.openxmlformats.org/markup-compatibility/2006">
      <mc:Choice Requires="x14">
        <control shapeId="90793" r:id="rId54" name="BtnSendToDalek">
          <controlPr autoLine="0" r:id="rId55">
            <anchor moveWithCells="1">
              <from>
                <xdr:col>14</xdr:col>
                <xdr:colOff>209550</xdr:colOff>
                <xdr:row>25</xdr:row>
                <xdr:rowOff>171450</xdr:rowOff>
              </from>
              <to>
                <xdr:col>15</xdr:col>
                <xdr:colOff>400050</xdr:colOff>
                <xdr:row>28</xdr:row>
                <xdr:rowOff>161925</xdr:rowOff>
              </to>
            </anchor>
          </controlPr>
        </control>
      </mc:Choice>
      <mc:Fallback>
        <control shapeId="90793" r:id="rId54" name="BtnSendToDalek"/>
      </mc:Fallback>
    </mc:AlternateContent>
    <mc:AlternateContent xmlns:mc="http://schemas.openxmlformats.org/markup-compatibility/2006">
      <mc:Choice Requires="x14">
        <control shapeId="90794" r:id="rId56" name="btnPlayBuffer">
          <controlPr autoLine="0" r:id="rId57">
            <anchor moveWithCells="1">
              <from>
                <xdr:col>14</xdr:col>
                <xdr:colOff>209550</xdr:colOff>
                <xdr:row>29</xdr:row>
                <xdr:rowOff>85725</xdr:rowOff>
              </from>
              <to>
                <xdr:col>15</xdr:col>
                <xdr:colOff>400050</xdr:colOff>
                <xdr:row>32</xdr:row>
                <xdr:rowOff>76200</xdr:rowOff>
              </to>
            </anchor>
          </controlPr>
        </control>
      </mc:Choice>
      <mc:Fallback>
        <control shapeId="90794" r:id="rId56" name="btnPlayBuffer"/>
      </mc:Fallback>
    </mc:AlternateContent>
    <mc:AlternateContent xmlns:mc="http://schemas.openxmlformats.org/markup-compatibility/2006">
      <mc:Choice Requires="x14">
        <control shapeId="90795" r:id="rId58" name="btnStopPlaying">
          <controlPr autoLine="0" r:id="rId59">
            <anchor moveWithCells="1">
              <from>
                <xdr:col>14</xdr:col>
                <xdr:colOff>209550</xdr:colOff>
                <xdr:row>33</xdr:row>
                <xdr:rowOff>0</xdr:rowOff>
              </from>
              <to>
                <xdr:col>15</xdr:col>
                <xdr:colOff>400050</xdr:colOff>
                <xdr:row>38</xdr:row>
                <xdr:rowOff>76200</xdr:rowOff>
              </to>
            </anchor>
          </controlPr>
        </control>
      </mc:Choice>
      <mc:Fallback>
        <control shapeId="90795" r:id="rId58" name="btnStopPlaying"/>
      </mc:Fallback>
    </mc:AlternateContent>
    <mc:AlternateContent xmlns:mc="http://schemas.openxmlformats.org/markup-compatibility/2006">
      <mc:Choice Requires="x14">
        <control shapeId="90796" r:id="rId60" name="btnPlayB10">
          <controlPr autoLine="0" r:id="rId61">
            <anchor moveWithCells="1">
              <from>
                <xdr:col>14</xdr:col>
                <xdr:colOff>114300</xdr:colOff>
                <xdr:row>9</xdr:row>
                <xdr:rowOff>57150</xdr:rowOff>
              </from>
              <to>
                <xdr:col>15</xdr:col>
                <xdr:colOff>666750</xdr:colOff>
                <xdr:row>9</xdr:row>
                <xdr:rowOff>466725</xdr:rowOff>
              </to>
            </anchor>
          </controlPr>
        </control>
      </mc:Choice>
      <mc:Fallback>
        <control shapeId="90796" r:id="rId60" name="btnPlayB10"/>
      </mc:Fallback>
    </mc:AlternateContent>
    <mc:AlternateContent xmlns:mc="http://schemas.openxmlformats.org/markup-compatibility/2006">
      <mc:Choice Requires="x14">
        <control shapeId="90797" r:id="rId62" name="CbHT16K33">
          <controlPr autoLine="0" linkedCell="B6" r:id="rId63">
            <anchor moveWithCells="1">
              <from>
                <xdr:col>1</xdr:col>
                <xdr:colOff>390525</xdr:colOff>
                <xdr:row>11</xdr:row>
                <xdr:rowOff>133350</xdr:rowOff>
              </from>
              <to>
                <xdr:col>2</xdr:col>
                <xdr:colOff>542925</xdr:colOff>
                <xdr:row>13</xdr:row>
                <xdr:rowOff>28575</xdr:rowOff>
              </to>
            </anchor>
          </controlPr>
        </control>
      </mc:Choice>
      <mc:Fallback>
        <control shapeId="90797" r:id="rId62" name="CbHT16K33"/>
      </mc:Fallback>
    </mc:AlternateContent>
    <mc:AlternateContent xmlns:mc="http://schemas.openxmlformats.org/markup-compatibility/2006">
      <mc:Choice Requires="x14">
        <control shapeId="48317" r:id="rId64" name="Label 43197">
          <controlPr defaultSize="0" autoFill="0" autoLine="0" autoPict="0">
            <anchor moveWithCells="1" sizeWithCells="1">
              <from>
                <xdr:col>12</xdr:col>
                <xdr:colOff>238125</xdr:colOff>
                <xdr:row>17</xdr:row>
                <xdr:rowOff>9525</xdr:rowOff>
              </from>
              <to>
                <xdr:col>15</xdr:col>
                <xdr:colOff>704850</xdr:colOff>
                <xdr:row>18</xdr:row>
                <xdr:rowOff>66675</xdr:rowOff>
              </to>
            </anchor>
          </controlPr>
        </control>
      </mc:Choice>
    </mc:AlternateContent>
    <mc:AlternateContent xmlns:mc="http://schemas.openxmlformats.org/markup-compatibility/2006">
      <mc:Choice Requires="x14">
        <control shapeId="90785" r:id="rId65" name="Label 81569">
          <controlPr defaultSize="0" autoFill="0" autoLine="0" autoPict="0" macro="[0]!About">
            <anchor moveWithCells="1" sizeWithCells="1">
              <from>
                <xdr:col>15</xdr:col>
                <xdr:colOff>19050</xdr:colOff>
                <xdr:row>6</xdr:row>
                <xdr:rowOff>114300</xdr:rowOff>
              </from>
              <to>
                <xdr:col>15</xdr:col>
                <xdr:colOff>723900</xdr:colOff>
                <xdr:row>8</xdr:row>
                <xdr:rowOff>76200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6E7CBA-F2F5-49B5-AC09-367B1B1BF0BE}">
  <sheetPr codeName="Sheet9"/>
  <dimension ref="B1:S38"/>
  <sheetViews>
    <sheetView workbookViewId="0">
      <selection activeCell="I8" sqref="I8:J8"/>
    </sheetView>
  </sheetViews>
  <sheetFormatPr defaultRowHeight="14.25" x14ac:dyDescent="0.2"/>
  <cols>
    <col min="2" max="2" width="15.125" bestFit="1" customWidth="1"/>
    <col min="3" max="3" width="18.625" bestFit="1" customWidth="1"/>
    <col min="4" max="4" width="5.625" customWidth="1"/>
    <col min="6" max="6" width="16.5" customWidth="1"/>
    <col min="7" max="7" width="18.375" customWidth="1"/>
    <col min="8" max="8" width="25.875" customWidth="1"/>
    <col min="9" max="9" width="21.75" customWidth="1"/>
    <col min="10" max="10" width="18.125" customWidth="1"/>
    <col min="11" max="11" width="18.5" customWidth="1"/>
    <col min="12" max="12" width="17.375" customWidth="1"/>
    <col min="13" max="13" width="20.5" hidden="1" customWidth="1"/>
    <col min="14" max="19" width="9" hidden="1" customWidth="1"/>
  </cols>
  <sheetData>
    <row r="1" spans="2:14" ht="21" customHeight="1" thickBot="1" x14ac:dyDescent="0.25"/>
    <row r="2" spans="2:14" ht="34.5" customHeight="1" thickBot="1" x14ac:dyDescent="0.25">
      <c r="B2" s="76" t="s">
        <v>251</v>
      </c>
      <c r="C2" s="73"/>
      <c r="D2" s="73"/>
      <c r="E2" s="74"/>
      <c r="I2" s="96"/>
      <c r="J2" s="100" t="s">
        <v>216</v>
      </c>
      <c r="K2" s="100" t="s">
        <v>217</v>
      </c>
      <c r="L2" s="101" t="s">
        <v>254</v>
      </c>
      <c r="M2" s="23" t="s">
        <v>17</v>
      </c>
      <c r="N2" s="80" t="s">
        <v>256</v>
      </c>
    </row>
    <row r="3" spans="2:14" ht="34.5" customHeight="1" x14ac:dyDescent="0.2">
      <c r="B3" s="96"/>
      <c r="C3" s="57"/>
      <c r="D3" s="57"/>
      <c r="E3" s="58"/>
      <c r="I3" s="102" t="s">
        <v>255</v>
      </c>
      <c r="J3" s="97"/>
      <c r="K3" s="97"/>
      <c r="L3" s="98"/>
      <c r="M3" s="23" t="s">
        <v>15</v>
      </c>
      <c r="N3" s="80" t="s">
        <v>237</v>
      </c>
    </row>
    <row r="4" spans="2:14" ht="34.5" customHeight="1" thickBot="1" x14ac:dyDescent="0.25">
      <c r="B4" s="59"/>
      <c r="C4" s="60"/>
      <c r="D4" s="60"/>
      <c r="E4" s="61"/>
      <c r="I4" s="103" t="s">
        <v>14</v>
      </c>
      <c r="J4" s="99"/>
      <c r="K4" s="99"/>
      <c r="L4" s="126">
        <v>0</v>
      </c>
      <c r="M4" s="23" t="s">
        <v>36</v>
      </c>
      <c r="N4" s="80" t="s">
        <v>218</v>
      </c>
    </row>
    <row r="5" spans="2:14" ht="36.75" customHeight="1" thickBot="1" x14ac:dyDescent="0.25">
      <c r="B5" s="62"/>
      <c r="C5" s="63"/>
      <c r="D5" s="63"/>
      <c r="E5" s="64"/>
      <c r="F5" s="77"/>
      <c r="M5" s="23" t="s">
        <v>22</v>
      </c>
      <c r="N5" s="80" t="s">
        <v>263</v>
      </c>
    </row>
    <row r="6" spans="2:14" ht="33" customHeight="1" thickBot="1" x14ac:dyDescent="0.25">
      <c r="B6" s="76" t="s">
        <v>252</v>
      </c>
      <c r="C6" s="73"/>
      <c r="D6" s="73"/>
      <c r="E6" s="73"/>
      <c r="F6" s="74"/>
      <c r="H6" s="75"/>
      <c r="I6" s="73"/>
      <c r="J6" s="79" t="s">
        <v>253</v>
      </c>
      <c r="M6" s="23" t="s">
        <v>27</v>
      </c>
      <c r="N6" s="80" t="s">
        <v>257</v>
      </c>
    </row>
    <row r="7" spans="2:14" ht="19.5" customHeight="1" thickBot="1" x14ac:dyDescent="0.25">
      <c r="F7" s="77"/>
      <c r="M7" s="23" t="s">
        <v>33</v>
      </c>
      <c r="N7" s="80" t="s">
        <v>258</v>
      </c>
    </row>
    <row r="8" spans="2:14" ht="19.5" customHeight="1" thickBot="1" x14ac:dyDescent="0.25">
      <c r="B8" s="83" t="s">
        <v>265</v>
      </c>
      <c r="C8" s="84"/>
      <c r="D8" s="85"/>
      <c r="E8" s="94"/>
      <c r="F8" s="77"/>
      <c r="G8" s="82" t="s">
        <v>284</v>
      </c>
      <c r="I8" s="144" t="s">
        <v>274</v>
      </c>
      <c r="J8" s="145"/>
      <c r="M8" s="23" t="s">
        <v>29</v>
      </c>
      <c r="N8" s="80" t="s">
        <v>259</v>
      </c>
    </row>
    <row r="9" spans="2:14" ht="15.75" customHeight="1" thickBot="1" x14ac:dyDescent="0.25">
      <c r="B9" s="86" t="s">
        <v>213</v>
      </c>
      <c r="C9" s="87">
        <v>100</v>
      </c>
      <c r="D9" s="95" t="s">
        <v>214</v>
      </c>
      <c r="E9" s="94"/>
    </row>
    <row r="10" spans="2:14" ht="20.25" x14ac:dyDescent="0.2">
      <c r="B10" s="89" t="s">
        <v>264</v>
      </c>
      <c r="C10" s="90"/>
      <c r="D10" s="91"/>
      <c r="E10" s="94"/>
      <c r="M10">
        <v>1</v>
      </c>
      <c r="N10" t="s">
        <v>260</v>
      </c>
    </row>
    <row r="11" spans="2:14" x14ac:dyDescent="0.2">
      <c r="B11" s="92" t="s">
        <v>213</v>
      </c>
      <c r="C11" s="90">
        <v>1000</v>
      </c>
      <c r="D11" s="91" t="s">
        <v>214</v>
      </c>
      <c r="E11" s="94"/>
      <c r="M11">
        <v>2</v>
      </c>
      <c r="N11" t="s">
        <v>243</v>
      </c>
    </row>
    <row r="12" spans="2:14" x14ac:dyDescent="0.2">
      <c r="B12" s="92" t="s">
        <v>243</v>
      </c>
      <c r="C12" s="90">
        <v>500</v>
      </c>
      <c r="D12" s="91" t="s">
        <v>214</v>
      </c>
      <c r="E12" s="94"/>
      <c r="M12">
        <v>3</v>
      </c>
      <c r="N12" t="s">
        <v>244</v>
      </c>
    </row>
    <row r="13" spans="2:14" x14ac:dyDescent="0.2">
      <c r="B13" s="92" t="s">
        <v>244</v>
      </c>
      <c r="C13" s="90">
        <v>100</v>
      </c>
      <c r="D13" s="91" t="s">
        <v>214</v>
      </c>
      <c r="E13" s="94"/>
      <c r="M13">
        <v>4</v>
      </c>
      <c r="N13" t="s">
        <v>215</v>
      </c>
    </row>
    <row r="14" spans="2:14" ht="20.25" customHeight="1" thickBot="1" x14ac:dyDescent="0.25">
      <c r="B14" s="86" t="s">
        <v>215</v>
      </c>
      <c r="C14" s="93">
        <v>20</v>
      </c>
      <c r="D14" s="88" t="s">
        <v>214</v>
      </c>
      <c r="E14" s="94"/>
      <c r="M14">
        <v>5</v>
      </c>
      <c r="N14" t="s">
        <v>261</v>
      </c>
    </row>
    <row r="15" spans="2:14" ht="20.25" customHeight="1" thickBot="1" x14ac:dyDescent="0.25">
      <c r="H15" s="21"/>
      <c r="M15">
        <v>6</v>
      </c>
      <c r="N15" t="s">
        <v>262</v>
      </c>
    </row>
    <row r="16" spans="2:14" ht="20.25" customHeight="1" x14ac:dyDescent="0.2">
      <c r="B16" s="146" t="s">
        <v>219</v>
      </c>
      <c r="C16" s="147"/>
      <c r="H16" s="21"/>
    </row>
    <row r="17" spans="2:19" ht="20.25" customHeight="1" x14ac:dyDescent="0.2">
      <c r="B17" s="69" t="s">
        <v>220</v>
      </c>
      <c r="C17" s="68">
        <v>5</v>
      </c>
      <c r="H17" s="21"/>
      <c r="M17">
        <v>1</v>
      </c>
      <c r="N17" t="s">
        <v>30</v>
      </c>
      <c r="O17" t="s">
        <v>29</v>
      </c>
    </row>
    <row r="18" spans="2:19" ht="20.25" customHeight="1" x14ac:dyDescent="0.2">
      <c r="B18" s="69" t="s">
        <v>221</v>
      </c>
      <c r="C18" s="68">
        <v>0</v>
      </c>
      <c r="H18" s="21"/>
      <c r="M18">
        <v>2</v>
      </c>
      <c r="N18" t="s">
        <v>16</v>
      </c>
      <c r="O18" t="s">
        <v>29</v>
      </c>
    </row>
    <row r="19" spans="2:19" ht="20.25" customHeight="1" x14ac:dyDescent="0.2">
      <c r="B19" s="69" t="s">
        <v>222</v>
      </c>
      <c r="C19" s="68">
        <v>7</v>
      </c>
      <c r="M19">
        <v>3</v>
      </c>
      <c r="N19" t="s">
        <v>20</v>
      </c>
      <c r="O19" t="s">
        <v>29</v>
      </c>
    </row>
    <row r="20" spans="2:19" ht="20.25" customHeight="1" thickBot="1" x14ac:dyDescent="0.25">
      <c r="B20" s="70" t="s">
        <v>270</v>
      </c>
      <c r="C20" s="71" t="s">
        <v>223</v>
      </c>
      <c r="F20" s="21"/>
      <c r="G20" s="21"/>
      <c r="M20">
        <v>4</v>
      </c>
      <c r="N20" t="s">
        <v>30</v>
      </c>
      <c r="O20" t="s">
        <v>34</v>
      </c>
    </row>
    <row r="21" spans="2:19" ht="20.25" customHeight="1" thickBot="1" x14ac:dyDescent="0.25">
      <c r="B21" s="70" t="s">
        <v>271</v>
      </c>
      <c r="C21" s="71" t="s">
        <v>209</v>
      </c>
      <c r="F21" s="21"/>
      <c r="G21" s="21"/>
      <c r="M21">
        <v>5</v>
      </c>
      <c r="N21" t="s">
        <v>16</v>
      </c>
      <c r="O21" t="s">
        <v>34</v>
      </c>
    </row>
    <row r="22" spans="2:19" ht="20.25" customHeight="1" x14ac:dyDescent="0.2">
      <c r="M22">
        <v>6</v>
      </c>
      <c r="N22" t="s">
        <v>20</v>
      </c>
      <c r="O22" t="s">
        <v>34</v>
      </c>
    </row>
    <row r="23" spans="2:19" ht="20.25" customHeight="1" x14ac:dyDescent="0.2">
      <c r="M23" t="s">
        <v>216</v>
      </c>
      <c r="N23" s="78" t="s">
        <v>17</v>
      </c>
      <c r="O23">
        <v>4</v>
      </c>
      <c r="P23" s="81">
        <f>IF(Leye="C",LeyeCol,Leye)</f>
        <v>4</v>
      </c>
      <c r="Q23">
        <v>4</v>
      </c>
      <c r="R23" s="81" t="str">
        <f>VLOOKUP(LeyePat,SelectBlinkStrobe,2)</f>
        <v>O</v>
      </c>
      <c r="S23" s="81" t="str">
        <f>VLOOKUP(LeyePat,SelectBlinkStrobe,3)</f>
        <v>S</v>
      </c>
    </row>
    <row r="24" spans="2:19" ht="20.25" customHeight="1" x14ac:dyDescent="0.2">
      <c r="M24" t="s">
        <v>217</v>
      </c>
      <c r="N24" s="78" t="s">
        <v>17</v>
      </c>
      <c r="O24">
        <v>4</v>
      </c>
      <c r="P24" s="81">
        <f>IF(Nose="C",NoseCol,Nose)</f>
        <v>4</v>
      </c>
      <c r="Q24">
        <v>1</v>
      </c>
      <c r="R24" s="81" t="str">
        <f>VLOOKUP(NosePat,SelectBlinkStrobe,2)</f>
        <v>O</v>
      </c>
      <c r="S24" s="81" t="str">
        <f>VLOOKUP(NosePat,SelectBlinkStrobe,3)</f>
        <v>N</v>
      </c>
    </row>
    <row r="25" spans="2:19" ht="20.25" customHeight="1" x14ac:dyDescent="0.2">
      <c r="M25" t="s">
        <v>254</v>
      </c>
      <c r="N25" s="78" t="s">
        <v>17</v>
      </c>
      <c r="O25">
        <v>4</v>
      </c>
      <c r="P25" s="81">
        <f>IF(Reye="C",ReyeCol,Reye)</f>
        <v>4</v>
      </c>
      <c r="Q25">
        <v>4</v>
      </c>
      <c r="R25" s="81" t="str">
        <f>VLOOKUP(ReyePat,SelectBlinkStrobe,2)</f>
        <v>O</v>
      </c>
      <c r="S25" s="81" t="str">
        <f>VLOOKUP(ReyePat,SelectBlinkStrobe,3)</f>
        <v>S</v>
      </c>
    </row>
    <row r="26" spans="2:19" ht="20.25" customHeight="1" x14ac:dyDescent="0.2"/>
    <row r="27" spans="2:19" ht="20.25" customHeight="1" x14ac:dyDescent="0.2">
      <c r="M27" t="s">
        <v>266</v>
      </c>
      <c r="N27" t="b">
        <v>0</v>
      </c>
    </row>
    <row r="28" spans="2:19" ht="20.25" customHeight="1" thickBot="1" x14ac:dyDescent="0.25">
      <c r="M28" t="s">
        <v>267</v>
      </c>
      <c r="N28" t="b">
        <v>1</v>
      </c>
    </row>
    <row r="29" spans="2:19" ht="20.25" customHeight="1" x14ac:dyDescent="0.2">
      <c r="B29" s="104"/>
      <c r="C29" s="105"/>
      <c r="D29" s="105"/>
      <c r="E29" s="106"/>
      <c r="M29" t="s">
        <v>268</v>
      </c>
      <c r="N29" t="b">
        <v>1</v>
      </c>
    </row>
    <row r="30" spans="2:19" ht="20.25" customHeight="1" x14ac:dyDescent="0.2">
      <c r="B30" s="148" t="s">
        <v>272</v>
      </c>
      <c r="C30" s="149"/>
      <c r="D30" s="149"/>
      <c r="E30" s="150"/>
      <c r="M30" t="s">
        <v>269</v>
      </c>
      <c r="N30" t="b">
        <v>1</v>
      </c>
    </row>
    <row r="31" spans="2:19" ht="20.25" customHeight="1" x14ac:dyDescent="0.2">
      <c r="B31" s="107"/>
      <c r="C31" s="108"/>
      <c r="D31" s="108"/>
      <c r="E31" s="109"/>
    </row>
    <row r="32" spans="2:19" ht="20.25" customHeight="1" x14ac:dyDescent="0.2">
      <c r="B32" s="107"/>
      <c r="C32" s="108"/>
      <c r="D32" s="108"/>
      <c r="E32" s="109"/>
      <c r="N32" t="s">
        <v>208</v>
      </c>
    </row>
    <row r="33" spans="2:14" ht="20.25" customHeight="1" x14ac:dyDescent="0.2">
      <c r="B33" s="107"/>
      <c r="C33" s="108"/>
      <c r="D33" s="108"/>
      <c r="E33" s="109"/>
      <c r="N33" t="s">
        <v>208</v>
      </c>
    </row>
    <row r="34" spans="2:14" ht="20.25" customHeight="1" thickBot="1" x14ac:dyDescent="0.25">
      <c r="B34" s="110"/>
      <c r="C34" s="111"/>
      <c r="D34" s="111"/>
      <c r="E34" s="112"/>
      <c r="N34" t="s">
        <v>211</v>
      </c>
    </row>
    <row r="35" spans="2:14" ht="20.25" customHeight="1" x14ac:dyDescent="0.2">
      <c r="N35" t="s">
        <v>209</v>
      </c>
    </row>
    <row r="36" spans="2:14" ht="20.25" customHeight="1" x14ac:dyDescent="0.2">
      <c r="N36" t="s">
        <v>210</v>
      </c>
    </row>
    <row r="37" spans="2:14" ht="20.25" customHeight="1" x14ac:dyDescent="0.2">
      <c r="N37" t="str">
        <f>"C"&amp;P23&amp;P24&amp;P25&amp;R23&amp;R24&amp;R25&amp;S23&amp;S24&amp;S25</f>
        <v>C444OOOSNS</v>
      </c>
    </row>
    <row r="38" spans="2:14" ht="20.25" customHeight="1" x14ac:dyDescent="0.2"/>
  </sheetData>
  <mergeCells count="3">
    <mergeCell ref="I8:J8"/>
    <mergeCell ref="B16:C16"/>
    <mergeCell ref="B30:E30"/>
  </mergeCells>
  <phoneticPr fontId="3" type="noConversion"/>
  <pageMargins left="0.7" right="0.7" top="0.75" bottom="0.75" header="0.3" footer="0.3"/>
  <drawing r:id="rId1"/>
  <legacyDrawing r:id="rId2"/>
  <controls>
    <mc:AlternateContent xmlns:mc="http://schemas.openxmlformats.org/markup-compatibility/2006">
      <mc:Choice Requires="x14">
        <control shapeId="112684" r:id="rId3" name="ComboBox1">
          <controlPr locked="0" defaultSize="0" autoLine="0" linkedCell="What" listFillRange="ActivateSleep" r:id="rId4">
            <anchor moveWithCells="1">
              <from>
                <xdr:col>1</xdr:col>
                <xdr:colOff>504825</xdr:colOff>
                <xdr:row>30</xdr:row>
                <xdr:rowOff>152400</xdr:rowOff>
              </from>
              <to>
                <xdr:col>4</xdr:col>
                <xdr:colOff>352425</xdr:colOff>
                <xdr:row>31</xdr:row>
                <xdr:rowOff>161925</xdr:rowOff>
              </to>
            </anchor>
          </controlPr>
        </control>
      </mc:Choice>
      <mc:Fallback>
        <control shapeId="112684" r:id="rId3" name="ComboBox1"/>
      </mc:Fallback>
    </mc:AlternateContent>
    <mc:AlternateContent xmlns:mc="http://schemas.openxmlformats.org/markup-compatibility/2006">
      <mc:Choice Requires="x14">
        <control shapeId="112683" r:id="rId5" name="SleepHead">
          <controlPr autoLine="0" r:id="rId6">
            <anchor moveWithCells="1">
              <from>
                <xdr:col>1</xdr:col>
                <xdr:colOff>514350</xdr:colOff>
                <xdr:row>32</xdr:row>
                <xdr:rowOff>66675</xdr:rowOff>
              </from>
              <to>
                <xdr:col>2</xdr:col>
                <xdr:colOff>561975</xdr:colOff>
                <xdr:row>33</xdr:row>
                <xdr:rowOff>114300</xdr:rowOff>
              </to>
            </anchor>
          </controlPr>
        </control>
      </mc:Choice>
      <mc:Fallback>
        <control shapeId="112683" r:id="rId5" name="SleepHead"/>
      </mc:Fallback>
    </mc:AlternateContent>
    <mc:AlternateContent xmlns:mc="http://schemas.openxmlformats.org/markup-compatibility/2006">
      <mc:Choice Requires="x14">
        <control shapeId="112682" r:id="rId7" name="ActivateHead">
          <controlPr autoLine="0" r:id="rId8">
            <anchor moveWithCells="1">
              <from>
                <xdr:col>2</xdr:col>
                <xdr:colOff>1000125</xdr:colOff>
                <xdr:row>32</xdr:row>
                <xdr:rowOff>57150</xdr:rowOff>
              </from>
              <to>
                <xdr:col>4</xdr:col>
                <xdr:colOff>352425</xdr:colOff>
                <xdr:row>33</xdr:row>
                <xdr:rowOff>104775</xdr:rowOff>
              </to>
            </anchor>
          </controlPr>
        </control>
      </mc:Choice>
      <mc:Fallback>
        <control shapeId="112682" r:id="rId7" name="ActivateHead"/>
      </mc:Fallback>
    </mc:AlternateContent>
    <mc:AlternateContent xmlns:mc="http://schemas.openxmlformats.org/markup-compatibility/2006">
      <mc:Choice Requires="x14">
        <control shapeId="112677" r:id="rId9" name="CheckBox1">
          <controlPr autoLine="0" linkedCell="autoRING" r:id="rId10">
            <anchor moveWithCells="1">
              <from>
                <xdr:col>9</xdr:col>
                <xdr:colOff>647700</xdr:colOff>
                <xdr:row>9</xdr:row>
                <xdr:rowOff>171450</xdr:rowOff>
              </from>
              <to>
                <xdr:col>10</xdr:col>
                <xdr:colOff>95250</xdr:colOff>
                <xdr:row>10</xdr:row>
                <xdr:rowOff>171450</xdr:rowOff>
              </to>
            </anchor>
          </controlPr>
        </control>
      </mc:Choice>
      <mc:Fallback>
        <control shapeId="112677" r:id="rId9" name="CheckBox1"/>
      </mc:Fallback>
    </mc:AlternateContent>
    <mc:AlternateContent xmlns:mc="http://schemas.openxmlformats.org/markup-compatibility/2006">
      <mc:Choice Requires="x14">
        <control shapeId="112676" r:id="rId11" name="cbAutoHEAD">
          <controlPr autoLine="0" autoPict="0" linkedCell="autoHEAD" r:id="rId12">
            <anchor moveWithCells="1">
              <from>
                <xdr:col>7</xdr:col>
                <xdr:colOff>66675</xdr:colOff>
                <xdr:row>9</xdr:row>
                <xdr:rowOff>152400</xdr:rowOff>
              </from>
              <to>
                <xdr:col>7</xdr:col>
                <xdr:colOff>895350</xdr:colOff>
                <xdr:row>10</xdr:row>
                <xdr:rowOff>152400</xdr:rowOff>
              </to>
            </anchor>
          </controlPr>
        </control>
      </mc:Choice>
      <mc:Fallback>
        <control shapeId="112676" r:id="rId11" name="cbAutoHEAD"/>
      </mc:Fallback>
    </mc:AlternateContent>
    <mc:AlternateContent xmlns:mc="http://schemas.openxmlformats.org/markup-compatibility/2006">
      <mc:Choice Requires="x14">
        <control shapeId="112675" r:id="rId13" name="btnCopyRing">
          <controlPr defaultSize="0" autoLine="0" r:id="rId14">
            <anchor moveWithCells="1">
              <from>
                <xdr:col>9</xdr:col>
                <xdr:colOff>628650</xdr:colOff>
                <xdr:row>8</xdr:row>
                <xdr:rowOff>38100</xdr:rowOff>
              </from>
              <to>
                <xdr:col>10</xdr:col>
                <xdr:colOff>9525</xdr:colOff>
                <xdr:row>9</xdr:row>
                <xdr:rowOff>142875</xdr:rowOff>
              </to>
            </anchor>
          </controlPr>
        </control>
      </mc:Choice>
      <mc:Fallback>
        <control shapeId="112675" r:id="rId13" name="btnCopyRing"/>
      </mc:Fallback>
    </mc:AlternateContent>
    <mc:AlternateContent xmlns:mc="http://schemas.openxmlformats.org/markup-compatibility/2006">
      <mc:Choice Requires="x14">
        <control shapeId="112674" r:id="rId15" name="btnCopyHEAD">
          <controlPr defaultSize="0" autoLine="0" autoPict="0" r:id="rId16">
            <anchor moveWithCells="1">
              <from>
                <xdr:col>7</xdr:col>
                <xdr:colOff>47625</xdr:colOff>
                <xdr:row>8</xdr:row>
                <xdr:rowOff>9525</xdr:rowOff>
              </from>
              <to>
                <xdr:col>7</xdr:col>
                <xdr:colOff>809625</xdr:colOff>
                <xdr:row>9</xdr:row>
                <xdr:rowOff>114300</xdr:rowOff>
              </to>
            </anchor>
          </controlPr>
        </control>
      </mc:Choice>
      <mc:Fallback>
        <control shapeId="112674" r:id="rId15" name="btnCopyHEAD"/>
      </mc:Fallback>
    </mc:AlternateContent>
    <mc:AlternateContent xmlns:mc="http://schemas.openxmlformats.org/markup-compatibility/2006">
      <mc:Choice Requires="x14">
        <control shapeId="112654" r:id="rId17" name="cmbRightEyePattern">
          <controlPr defaultSize="0" autoLine="0" linkedCell="ReyePat" listFillRange="SelectPattern" r:id="rId18">
            <anchor moveWithCells="1">
              <from>
                <xdr:col>11</xdr:col>
                <xdr:colOff>28575</xdr:colOff>
                <xdr:row>3</xdr:row>
                <xdr:rowOff>85725</xdr:rowOff>
              </from>
              <to>
                <xdr:col>11</xdr:col>
                <xdr:colOff>1295400</xdr:colOff>
                <xdr:row>3</xdr:row>
                <xdr:rowOff>352425</xdr:rowOff>
              </to>
            </anchor>
          </controlPr>
        </control>
      </mc:Choice>
      <mc:Fallback>
        <control shapeId="112654" r:id="rId17" name="cmbRightEyePattern"/>
      </mc:Fallback>
    </mc:AlternateContent>
    <mc:AlternateContent xmlns:mc="http://schemas.openxmlformats.org/markup-compatibility/2006">
      <mc:Choice Requires="x14">
        <control shapeId="112653" r:id="rId19" name="cmbNosePattern">
          <controlPr defaultSize="0" autoLine="0" linkedCell="NosePat" listFillRange="SelectPattern" r:id="rId20">
            <anchor moveWithCells="1">
              <from>
                <xdr:col>10</xdr:col>
                <xdr:colOff>28575</xdr:colOff>
                <xdr:row>3</xdr:row>
                <xdr:rowOff>85725</xdr:rowOff>
              </from>
              <to>
                <xdr:col>10</xdr:col>
                <xdr:colOff>1295400</xdr:colOff>
                <xdr:row>3</xdr:row>
                <xdr:rowOff>352425</xdr:rowOff>
              </to>
            </anchor>
          </controlPr>
        </control>
      </mc:Choice>
      <mc:Fallback>
        <control shapeId="112653" r:id="rId19" name="cmbNosePattern"/>
      </mc:Fallback>
    </mc:AlternateContent>
    <mc:AlternateContent xmlns:mc="http://schemas.openxmlformats.org/markup-compatibility/2006">
      <mc:Choice Requires="x14">
        <control shapeId="112651" r:id="rId21" name="cmbLeftEyePattern">
          <controlPr defaultSize="0" autoLine="0" linkedCell="LeyePat" listFillRange="SelectPattern" r:id="rId22">
            <anchor moveWithCells="1">
              <from>
                <xdr:col>9</xdr:col>
                <xdr:colOff>28575</xdr:colOff>
                <xdr:row>3</xdr:row>
                <xdr:rowOff>85725</xdr:rowOff>
              </from>
              <to>
                <xdr:col>9</xdr:col>
                <xdr:colOff>1295400</xdr:colOff>
                <xdr:row>3</xdr:row>
                <xdr:rowOff>352425</xdr:rowOff>
              </to>
            </anchor>
          </controlPr>
        </control>
      </mc:Choice>
      <mc:Fallback>
        <control shapeId="112651" r:id="rId21" name="cmbLeftEyePattern"/>
      </mc:Fallback>
    </mc:AlternateContent>
    <mc:AlternateContent xmlns:mc="http://schemas.openxmlformats.org/markup-compatibility/2006">
      <mc:Choice Requires="x14">
        <control shapeId="112647" r:id="rId23" name="cmbLeftEyeColor">
          <controlPr defaultSize="0" autoLine="0" autoPict="0" linkedCell="Leye" listFillRange="SelectColors" r:id="rId24">
            <anchor moveWithCells="1">
              <from>
                <xdr:col>9</xdr:col>
                <xdr:colOff>28575</xdr:colOff>
                <xdr:row>2</xdr:row>
                <xdr:rowOff>85725</xdr:rowOff>
              </from>
              <to>
                <xdr:col>9</xdr:col>
                <xdr:colOff>1295400</xdr:colOff>
                <xdr:row>2</xdr:row>
                <xdr:rowOff>352425</xdr:rowOff>
              </to>
            </anchor>
          </controlPr>
        </control>
      </mc:Choice>
      <mc:Fallback>
        <control shapeId="112647" r:id="rId23" name="cmbLeftEyeColor"/>
      </mc:Fallback>
    </mc:AlternateContent>
    <mc:AlternateContent xmlns:mc="http://schemas.openxmlformats.org/markup-compatibility/2006">
      <mc:Choice Requires="x14">
        <control shapeId="112641" r:id="rId25" name="btnSetTimingRing">
          <controlPr autoLine="0" r:id="rId26">
            <anchor moveWithCells="1">
              <from>
                <xdr:col>4</xdr:col>
                <xdr:colOff>47625</xdr:colOff>
                <xdr:row>6</xdr:row>
                <xdr:rowOff>219075</xdr:rowOff>
              </from>
              <to>
                <xdr:col>5</xdr:col>
                <xdr:colOff>600075</xdr:colOff>
                <xdr:row>8</xdr:row>
                <xdr:rowOff>133350</xdr:rowOff>
              </to>
            </anchor>
          </controlPr>
        </control>
      </mc:Choice>
      <mc:Fallback>
        <control shapeId="112641" r:id="rId25" name="btnSetTimingRing"/>
      </mc:Fallback>
    </mc:AlternateContent>
    <mc:AlternateContent xmlns:mc="http://schemas.openxmlformats.org/markup-compatibility/2006">
      <mc:Choice Requires="x14">
        <control shapeId="112642" r:id="rId27" name="btnSetColorRing">
          <controlPr autoLine="0" r:id="rId28">
            <anchor moveWithCells="1">
              <from>
                <xdr:col>8</xdr:col>
                <xdr:colOff>0</xdr:colOff>
                <xdr:row>8</xdr:row>
                <xdr:rowOff>9525</xdr:rowOff>
              </from>
              <to>
                <xdr:col>8</xdr:col>
                <xdr:colOff>1428750</xdr:colOff>
                <xdr:row>10</xdr:row>
                <xdr:rowOff>133350</xdr:rowOff>
              </to>
            </anchor>
          </controlPr>
        </control>
      </mc:Choice>
      <mc:Fallback>
        <control shapeId="112642" r:id="rId27" name="btnSetColorRing"/>
      </mc:Fallback>
    </mc:AlternateContent>
    <mc:AlternateContent xmlns:mc="http://schemas.openxmlformats.org/markup-compatibility/2006">
      <mc:Choice Requires="x14">
        <control shapeId="112643" r:id="rId29" name="btnEraseHEAD">
          <controlPr autoLine="0" r:id="rId30">
            <anchor moveWithCells="1">
              <from>
                <xdr:col>5</xdr:col>
                <xdr:colOff>171450</xdr:colOff>
                <xdr:row>11</xdr:row>
                <xdr:rowOff>95250</xdr:rowOff>
              </from>
              <to>
                <xdr:col>5</xdr:col>
                <xdr:colOff>1200150</xdr:colOff>
                <xdr:row>14</xdr:row>
                <xdr:rowOff>9525</xdr:rowOff>
              </to>
            </anchor>
          </controlPr>
        </control>
      </mc:Choice>
      <mc:Fallback>
        <control shapeId="112643" r:id="rId29" name="btnEraseHEAD"/>
      </mc:Fallback>
    </mc:AlternateContent>
    <mc:AlternateContent xmlns:mc="http://schemas.openxmlformats.org/markup-compatibility/2006">
      <mc:Choice Requires="x14">
        <control shapeId="112644" r:id="rId31" name="btnPlayHEAD">
          <controlPr autoLine="0" r:id="rId32">
            <anchor moveWithCells="1">
              <from>
                <xdr:col>5</xdr:col>
                <xdr:colOff>171450</xdr:colOff>
                <xdr:row>16</xdr:row>
                <xdr:rowOff>123825</xdr:rowOff>
              </from>
              <to>
                <xdr:col>5</xdr:col>
                <xdr:colOff>1181100</xdr:colOff>
                <xdr:row>18</xdr:row>
                <xdr:rowOff>142875</xdr:rowOff>
              </to>
            </anchor>
          </controlPr>
        </control>
      </mc:Choice>
      <mc:Fallback>
        <control shapeId="112644" r:id="rId31" name="btnPlayHEAD"/>
      </mc:Fallback>
    </mc:AlternateContent>
    <mc:AlternateContent xmlns:mc="http://schemas.openxmlformats.org/markup-compatibility/2006">
      <mc:Choice Requires="x14">
        <control shapeId="112645" r:id="rId33" name="cmdStopPlayingHead">
          <controlPr autoLine="0" r:id="rId34">
            <anchor moveWithCells="1">
              <from>
                <xdr:col>5</xdr:col>
                <xdr:colOff>152400</xdr:colOff>
                <xdr:row>18</xdr:row>
                <xdr:rowOff>180975</xdr:rowOff>
              </from>
              <to>
                <xdr:col>5</xdr:col>
                <xdr:colOff>1171575</xdr:colOff>
                <xdr:row>20</xdr:row>
                <xdr:rowOff>200025</xdr:rowOff>
              </to>
            </anchor>
          </controlPr>
        </control>
      </mc:Choice>
      <mc:Fallback>
        <control shapeId="112645" r:id="rId33" name="cmdStopPlayingHead"/>
      </mc:Fallback>
    </mc:AlternateContent>
    <mc:AlternateContent xmlns:mc="http://schemas.openxmlformats.org/markup-compatibility/2006">
      <mc:Choice Requires="x14">
        <control shapeId="112649" r:id="rId35" name="cmbNoseColor">
          <controlPr defaultSize="0" autoLine="0" linkedCell="Nose" listFillRange="SelectColors" r:id="rId36">
            <anchor moveWithCells="1">
              <from>
                <xdr:col>10</xdr:col>
                <xdr:colOff>28575</xdr:colOff>
                <xdr:row>2</xdr:row>
                <xdr:rowOff>85725</xdr:rowOff>
              </from>
              <to>
                <xdr:col>10</xdr:col>
                <xdr:colOff>1295400</xdr:colOff>
                <xdr:row>2</xdr:row>
                <xdr:rowOff>352425</xdr:rowOff>
              </to>
            </anchor>
          </controlPr>
        </control>
      </mc:Choice>
      <mc:Fallback>
        <control shapeId="112649" r:id="rId35" name="cmbNoseColor"/>
      </mc:Fallback>
    </mc:AlternateContent>
    <mc:AlternateContent xmlns:mc="http://schemas.openxmlformats.org/markup-compatibility/2006">
      <mc:Choice Requires="x14">
        <control shapeId="112650" r:id="rId37" name="cmbRightEyeColor">
          <controlPr defaultSize="0" autoLine="0" linkedCell="Reye" listFillRange="SelectColors" r:id="rId38">
            <anchor moveWithCells="1">
              <from>
                <xdr:col>11</xdr:col>
                <xdr:colOff>28575</xdr:colOff>
                <xdr:row>2</xdr:row>
                <xdr:rowOff>85725</xdr:rowOff>
              </from>
              <to>
                <xdr:col>11</xdr:col>
                <xdr:colOff>1295400</xdr:colOff>
                <xdr:row>2</xdr:row>
                <xdr:rowOff>352425</xdr:rowOff>
              </to>
            </anchor>
          </controlPr>
        </control>
      </mc:Choice>
      <mc:Fallback>
        <control shapeId="112650" r:id="rId37" name="cmbRightEyeColor"/>
      </mc:Fallback>
    </mc:AlternateContent>
    <mc:AlternateContent xmlns:mc="http://schemas.openxmlformats.org/markup-compatibility/2006">
      <mc:Choice Requires="x14">
        <control shapeId="112656" r:id="rId39" name="btnSetColorHead">
          <controlPr autoLine="0" r:id="rId40">
            <anchor moveWithCells="1">
              <from>
                <xdr:col>5</xdr:col>
                <xdr:colOff>1238250</xdr:colOff>
                <xdr:row>8</xdr:row>
                <xdr:rowOff>9525</xdr:rowOff>
              </from>
              <to>
                <xdr:col>7</xdr:col>
                <xdr:colOff>9525</xdr:colOff>
                <xdr:row>10</xdr:row>
                <xdr:rowOff>133350</xdr:rowOff>
              </to>
            </anchor>
          </controlPr>
        </control>
      </mc:Choice>
      <mc:Fallback>
        <control shapeId="112656" r:id="rId39" name="btnSetColorHead"/>
      </mc:Fallback>
    </mc:AlternateContent>
    <mc:AlternateContent xmlns:mc="http://schemas.openxmlformats.org/markup-compatibility/2006">
      <mc:Choice Requires="x14">
        <control shapeId="112658" r:id="rId41" name="btnSetTimingHead">
          <controlPr autoLine="0" r:id="rId42">
            <anchor moveWithCells="1">
              <from>
                <xdr:col>4</xdr:col>
                <xdr:colOff>57150</xdr:colOff>
                <xdr:row>9</xdr:row>
                <xdr:rowOff>19050</xdr:rowOff>
              </from>
              <to>
                <xdr:col>5</xdr:col>
                <xdr:colOff>609600</xdr:colOff>
                <xdr:row>10</xdr:row>
                <xdr:rowOff>171450</xdr:rowOff>
              </to>
            </anchor>
          </controlPr>
        </control>
      </mc:Choice>
      <mc:Fallback>
        <control shapeId="112658" r:id="rId41" name="btnSetTimingHead"/>
      </mc:Fallback>
    </mc:AlternateContent>
    <mc:AlternateContent xmlns:mc="http://schemas.openxmlformats.org/markup-compatibility/2006">
      <mc:Choice Requires="x14">
        <control shapeId="112659" r:id="rId43" name="btnLeft">
          <controlPr defaultSize="0" autoLine="0" r:id="rId44">
            <anchor moveWithCells="1">
              <from>
                <xdr:col>1</xdr:col>
                <xdr:colOff>123825</xdr:colOff>
                <xdr:row>3</xdr:row>
                <xdr:rowOff>28575</xdr:rowOff>
              </from>
              <to>
                <xdr:col>1</xdr:col>
                <xdr:colOff>1038225</xdr:colOff>
                <xdr:row>3</xdr:row>
                <xdr:rowOff>333375</xdr:rowOff>
              </to>
            </anchor>
          </controlPr>
        </control>
      </mc:Choice>
      <mc:Fallback>
        <control shapeId="112659" r:id="rId43" name="btnLeft"/>
      </mc:Fallback>
    </mc:AlternateContent>
    <mc:AlternateContent xmlns:mc="http://schemas.openxmlformats.org/markup-compatibility/2006">
      <mc:Choice Requires="x14">
        <control shapeId="112660" r:id="rId45" name="btnRigh">
          <controlPr defaultSize="0" autoLine="0" r:id="rId46">
            <anchor moveWithCells="1">
              <from>
                <xdr:col>2</xdr:col>
                <xdr:colOff>19050</xdr:colOff>
                <xdr:row>3</xdr:row>
                <xdr:rowOff>28575</xdr:rowOff>
              </from>
              <to>
                <xdr:col>2</xdr:col>
                <xdr:colOff>933450</xdr:colOff>
                <xdr:row>3</xdr:row>
                <xdr:rowOff>333375</xdr:rowOff>
              </to>
            </anchor>
          </controlPr>
        </control>
      </mc:Choice>
      <mc:Fallback>
        <control shapeId="112660" r:id="rId45" name="btnRigh"/>
      </mc:Fallback>
    </mc:AlternateContent>
    <mc:AlternateContent xmlns:mc="http://schemas.openxmlformats.org/markup-compatibility/2006">
      <mc:Choice Requires="x14">
        <control shapeId="112661" r:id="rId47" name="btnErase">
          <controlPr defaultSize="0" autoLine="0" r:id="rId48">
            <anchor moveWithCells="1">
              <from>
                <xdr:col>1</xdr:col>
                <xdr:colOff>133350</xdr:colOff>
                <xdr:row>2</xdr:row>
                <xdr:rowOff>76200</xdr:rowOff>
              </from>
              <to>
                <xdr:col>1</xdr:col>
                <xdr:colOff>1047750</xdr:colOff>
                <xdr:row>2</xdr:row>
                <xdr:rowOff>381000</xdr:rowOff>
              </to>
            </anchor>
          </controlPr>
        </control>
      </mc:Choice>
      <mc:Fallback>
        <control shapeId="112661" r:id="rId47" name="btnErase"/>
      </mc:Fallback>
    </mc:AlternateContent>
    <mc:AlternateContent xmlns:mc="http://schemas.openxmlformats.org/markup-compatibility/2006">
      <mc:Choice Requires="x14">
        <control shapeId="112662" r:id="rId49" name="btnFill">
          <controlPr defaultSize="0" autoLine="0" r:id="rId50">
            <anchor moveWithCells="1">
              <from>
                <xdr:col>2</xdr:col>
                <xdr:colOff>19050</xdr:colOff>
                <xdr:row>2</xdr:row>
                <xdr:rowOff>85725</xdr:rowOff>
              </from>
              <to>
                <xdr:col>2</xdr:col>
                <xdr:colOff>933450</xdr:colOff>
                <xdr:row>2</xdr:row>
                <xdr:rowOff>390525</xdr:rowOff>
              </to>
            </anchor>
          </controlPr>
        </control>
      </mc:Choice>
      <mc:Fallback>
        <control shapeId="112662" r:id="rId49" name="btnFill"/>
      </mc:Fallback>
    </mc:AlternateContent>
    <mc:AlternateContent xmlns:mc="http://schemas.openxmlformats.org/markup-compatibility/2006">
      <mc:Choice Requires="x14">
        <control shapeId="112663" r:id="rId51" name="CBfill">
          <controlPr autoLine="0" linkedCell="cb2Fill" r:id="rId52">
            <anchor moveWithCells="1">
              <from>
                <xdr:col>3</xdr:col>
                <xdr:colOff>266700</xdr:colOff>
                <xdr:row>2</xdr:row>
                <xdr:rowOff>133350</xdr:rowOff>
              </from>
              <to>
                <xdr:col>4</xdr:col>
                <xdr:colOff>476250</xdr:colOff>
                <xdr:row>2</xdr:row>
                <xdr:rowOff>352425</xdr:rowOff>
              </to>
            </anchor>
          </controlPr>
        </control>
      </mc:Choice>
      <mc:Fallback>
        <control shapeId="112663" r:id="rId51" name="CBfill"/>
      </mc:Fallback>
    </mc:AlternateContent>
    <mc:AlternateContent xmlns:mc="http://schemas.openxmlformats.org/markup-compatibility/2006">
      <mc:Choice Requires="x14">
        <control shapeId="112664" r:id="rId53" name="CBrotate">
          <controlPr autoLine="0" linkedCell="cb2Rotate" r:id="rId54">
            <anchor moveWithCells="1">
              <from>
                <xdr:col>2</xdr:col>
                <xdr:colOff>1066800</xdr:colOff>
                <xdr:row>2</xdr:row>
                <xdr:rowOff>104775</xdr:rowOff>
              </from>
              <to>
                <xdr:col>3</xdr:col>
                <xdr:colOff>285750</xdr:colOff>
                <xdr:row>2</xdr:row>
                <xdr:rowOff>361950</xdr:rowOff>
              </to>
            </anchor>
          </controlPr>
        </control>
      </mc:Choice>
      <mc:Fallback>
        <control shapeId="112664" r:id="rId53" name="CBrotate"/>
      </mc:Fallback>
    </mc:AlternateContent>
    <mc:AlternateContent xmlns:mc="http://schemas.openxmlformats.org/markup-compatibility/2006">
      <mc:Choice Requires="x14">
        <control shapeId="112665" r:id="rId55" name="cmdIn">
          <controlPr defaultSize="0" autoLine="0" r:id="rId56">
            <anchor moveWithCells="1">
              <from>
                <xdr:col>1</xdr:col>
                <xdr:colOff>133350</xdr:colOff>
                <xdr:row>3</xdr:row>
                <xdr:rowOff>409575</xdr:rowOff>
              </from>
              <to>
                <xdr:col>1</xdr:col>
                <xdr:colOff>1047750</xdr:colOff>
                <xdr:row>4</xdr:row>
                <xdr:rowOff>276225</xdr:rowOff>
              </to>
            </anchor>
          </controlPr>
        </control>
      </mc:Choice>
      <mc:Fallback>
        <control shapeId="112665" r:id="rId55" name="cmdIn"/>
      </mc:Fallback>
    </mc:AlternateContent>
    <mc:AlternateContent xmlns:mc="http://schemas.openxmlformats.org/markup-compatibility/2006">
      <mc:Choice Requires="x14">
        <control shapeId="112666" r:id="rId57" name="cmdOut">
          <controlPr defaultSize="0" autoLine="0" r:id="rId58">
            <anchor moveWithCells="1">
              <from>
                <xdr:col>2</xdr:col>
                <xdr:colOff>9525</xdr:colOff>
                <xdr:row>3</xdr:row>
                <xdr:rowOff>400050</xdr:rowOff>
              </from>
              <to>
                <xdr:col>2</xdr:col>
                <xdr:colOff>923925</xdr:colOff>
                <xdr:row>4</xdr:row>
                <xdr:rowOff>266700</xdr:rowOff>
              </to>
            </anchor>
          </controlPr>
        </control>
      </mc:Choice>
      <mc:Fallback>
        <control shapeId="112666" r:id="rId57" name="cmdOut"/>
      </mc:Fallback>
    </mc:AlternateContent>
    <mc:AlternateContent xmlns:mc="http://schemas.openxmlformats.org/markup-compatibility/2006">
      <mc:Choice Requires="x14">
        <control shapeId="112667" r:id="rId59" name="AllCommandsRing">
          <controlPr defaultSize="0" autoLine="0" autoPict="0" r:id="rId60">
            <anchor moveWithCells="1">
              <from>
                <xdr:col>7</xdr:col>
                <xdr:colOff>2181225</xdr:colOff>
                <xdr:row>11</xdr:row>
                <xdr:rowOff>0</xdr:rowOff>
              </from>
              <to>
                <xdr:col>9</xdr:col>
                <xdr:colOff>1152525</xdr:colOff>
                <xdr:row>36</xdr:row>
                <xdr:rowOff>152400</xdr:rowOff>
              </to>
            </anchor>
          </controlPr>
        </control>
      </mc:Choice>
      <mc:Fallback>
        <control shapeId="112667" r:id="rId59" name="AllCommandsRing"/>
      </mc:Fallback>
    </mc:AlternateContent>
    <mc:AlternateContent xmlns:mc="http://schemas.openxmlformats.org/markup-compatibility/2006">
      <mc:Choice Requires="x14">
        <control shapeId="112668" r:id="rId61" name="AllCommandsHead">
          <controlPr defaultSize="0" autoLine="0" r:id="rId62">
            <anchor moveWithCells="1">
              <from>
                <xdr:col>5</xdr:col>
                <xdr:colOff>1228725</xdr:colOff>
                <xdr:row>10</xdr:row>
                <xdr:rowOff>161925</xdr:rowOff>
              </from>
              <to>
                <xdr:col>7</xdr:col>
                <xdr:colOff>609600</xdr:colOff>
                <xdr:row>36</xdr:row>
                <xdr:rowOff>133350</xdr:rowOff>
              </to>
            </anchor>
          </controlPr>
        </control>
      </mc:Choice>
      <mc:Fallback>
        <control shapeId="112668" r:id="rId61" name="AllCommandsHead"/>
      </mc:Fallback>
    </mc:AlternateContent>
    <mc:AlternateContent xmlns:mc="http://schemas.openxmlformats.org/markup-compatibility/2006">
      <mc:Choice Requires="x14">
        <control shapeId="112669" r:id="rId63" name="btnSendBufferHead">
          <controlPr autoLine="0" r:id="rId64">
            <anchor moveWithCells="1">
              <from>
                <xdr:col>5</xdr:col>
                <xdr:colOff>161925</xdr:colOff>
                <xdr:row>14</xdr:row>
                <xdr:rowOff>66675</xdr:rowOff>
              </from>
              <to>
                <xdr:col>5</xdr:col>
                <xdr:colOff>1190625</xdr:colOff>
                <xdr:row>16</xdr:row>
                <xdr:rowOff>85725</xdr:rowOff>
              </to>
            </anchor>
          </controlPr>
        </control>
      </mc:Choice>
      <mc:Fallback>
        <control shapeId="112669" r:id="rId63" name="btnSendBufferHead"/>
      </mc:Fallback>
    </mc:AlternateContent>
    <mc:AlternateContent xmlns:mc="http://schemas.openxmlformats.org/markup-compatibility/2006">
      <mc:Choice Requires="x14">
        <control shapeId="112670" r:id="rId65" name="btnEraseRING">
          <controlPr autoLine="0" r:id="rId66">
            <anchor moveWithCells="1">
              <from>
                <xdr:col>9</xdr:col>
                <xdr:colOff>1209675</xdr:colOff>
                <xdr:row>11</xdr:row>
                <xdr:rowOff>0</xdr:rowOff>
              </from>
              <to>
                <xdr:col>10</xdr:col>
                <xdr:colOff>857250</xdr:colOff>
                <xdr:row>13</xdr:row>
                <xdr:rowOff>171450</xdr:rowOff>
              </to>
            </anchor>
          </controlPr>
        </control>
      </mc:Choice>
      <mc:Fallback>
        <control shapeId="112670" r:id="rId65" name="btnEraseRING"/>
      </mc:Fallback>
    </mc:AlternateContent>
    <mc:AlternateContent xmlns:mc="http://schemas.openxmlformats.org/markup-compatibility/2006">
      <mc:Choice Requires="x14">
        <control shapeId="112671" r:id="rId67" name="btnPlayRing">
          <controlPr autoLine="0" r:id="rId68">
            <anchor moveWithCells="1">
              <from>
                <xdr:col>9</xdr:col>
                <xdr:colOff>1209675</xdr:colOff>
                <xdr:row>16</xdr:row>
                <xdr:rowOff>28575</xdr:rowOff>
              </from>
              <to>
                <xdr:col>10</xdr:col>
                <xdr:colOff>838200</xdr:colOff>
                <xdr:row>18</xdr:row>
                <xdr:rowOff>47625</xdr:rowOff>
              </to>
            </anchor>
          </controlPr>
        </control>
      </mc:Choice>
      <mc:Fallback>
        <control shapeId="112671" r:id="rId67" name="btnPlayRing"/>
      </mc:Fallback>
    </mc:AlternateContent>
    <mc:AlternateContent xmlns:mc="http://schemas.openxmlformats.org/markup-compatibility/2006">
      <mc:Choice Requires="x14">
        <control shapeId="112672" r:id="rId69" name="cmdStopPlayingRing">
          <controlPr autoLine="0" r:id="rId70">
            <anchor moveWithCells="1">
              <from>
                <xdr:col>9</xdr:col>
                <xdr:colOff>1190625</xdr:colOff>
                <xdr:row>18</xdr:row>
                <xdr:rowOff>85725</xdr:rowOff>
              </from>
              <to>
                <xdr:col>10</xdr:col>
                <xdr:colOff>828675</xdr:colOff>
                <xdr:row>20</xdr:row>
                <xdr:rowOff>104775</xdr:rowOff>
              </to>
            </anchor>
          </controlPr>
        </control>
      </mc:Choice>
      <mc:Fallback>
        <control shapeId="112672" r:id="rId69" name="cmdStopPlayingRing"/>
      </mc:Fallback>
    </mc:AlternateContent>
    <mc:AlternateContent xmlns:mc="http://schemas.openxmlformats.org/markup-compatibility/2006">
      <mc:Choice Requires="x14">
        <control shapeId="112673" r:id="rId71" name="btnSendBufferRing">
          <controlPr autoLine="0" r:id="rId72">
            <anchor moveWithCells="1">
              <from>
                <xdr:col>9</xdr:col>
                <xdr:colOff>1200150</xdr:colOff>
                <xdr:row>13</xdr:row>
                <xdr:rowOff>228600</xdr:rowOff>
              </from>
              <to>
                <xdr:col>10</xdr:col>
                <xdr:colOff>847725</xdr:colOff>
                <xdr:row>15</xdr:row>
                <xdr:rowOff>247650</xdr:rowOff>
              </to>
            </anchor>
          </controlPr>
        </control>
      </mc:Choice>
      <mc:Fallback>
        <control shapeId="112673" r:id="rId71" name="btnSendBufferRing"/>
      </mc:Fallback>
    </mc:AlternateContent>
    <mc:AlternateContent xmlns:mc="http://schemas.openxmlformats.org/markup-compatibility/2006">
      <mc:Choice Requires="x14">
        <control shapeId="112679" r:id="rId73" name="btnMiscRingMQTT">
          <controlPr autoLine="0" r:id="rId74">
            <anchor moveWithCells="1">
              <from>
                <xdr:col>0</xdr:col>
                <xdr:colOff>619125</xdr:colOff>
                <xdr:row>21</xdr:row>
                <xdr:rowOff>209550</xdr:rowOff>
              </from>
              <to>
                <xdr:col>2</xdr:col>
                <xdr:colOff>209550</xdr:colOff>
                <xdr:row>24</xdr:row>
                <xdr:rowOff>19050</xdr:rowOff>
              </to>
            </anchor>
          </controlPr>
        </control>
      </mc:Choice>
      <mc:Fallback>
        <control shapeId="112679" r:id="rId73" name="btnMiscRingMQTT"/>
      </mc:Fallback>
    </mc:AlternateContent>
    <mc:AlternateContent xmlns:mc="http://schemas.openxmlformats.org/markup-compatibility/2006">
      <mc:Choice Requires="x14">
        <control shapeId="112680" r:id="rId75" name="CommandButton2">
          <controlPr autoLine="0" r:id="rId76">
            <anchor moveWithCells="1">
              <from>
                <xdr:col>1</xdr:col>
                <xdr:colOff>219075</xdr:colOff>
                <xdr:row>39</xdr:row>
                <xdr:rowOff>171450</xdr:rowOff>
              </from>
              <to>
                <xdr:col>2</xdr:col>
                <xdr:colOff>495300</xdr:colOff>
                <xdr:row>43</xdr:row>
                <xdr:rowOff>28575</xdr:rowOff>
              </to>
            </anchor>
          </controlPr>
        </control>
      </mc:Choice>
      <mc:Fallback>
        <control shapeId="112680" r:id="rId75" name="CommandButton2"/>
      </mc:Fallback>
    </mc:AlternateContent>
    <mc:AlternateContent xmlns:mc="http://schemas.openxmlformats.org/markup-compatibility/2006">
      <mc:Choice Requires="x14">
        <control shapeId="112681" r:id="rId77" name="btnMiscHeadMQTT">
          <controlPr autoLine="0" r:id="rId78">
            <anchor moveWithCells="1">
              <from>
                <xdr:col>0</xdr:col>
                <xdr:colOff>619125</xdr:colOff>
                <xdr:row>24</xdr:row>
                <xdr:rowOff>95250</xdr:rowOff>
              </from>
              <to>
                <xdr:col>2</xdr:col>
                <xdr:colOff>209550</xdr:colOff>
                <xdr:row>26</xdr:row>
                <xdr:rowOff>161925</xdr:rowOff>
              </to>
            </anchor>
          </controlPr>
        </control>
      </mc:Choice>
      <mc:Fallback>
        <control shapeId="112681" r:id="rId77" name="btnMiscHeadMQTT"/>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C2A948-29E2-4BD7-8CFD-06FBF3C2A8BB}">
  <sheetPr codeName="Sheet8"/>
  <dimension ref="B1:I30"/>
  <sheetViews>
    <sheetView workbookViewId="0">
      <selection activeCell="B16" sqref="B16"/>
    </sheetView>
  </sheetViews>
  <sheetFormatPr defaultRowHeight="14.25" x14ac:dyDescent="0.2"/>
  <cols>
    <col min="2" max="2" width="15.125" bestFit="1" customWidth="1"/>
    <col min="3" max="3" width="24.375" bestFit="1" customWidth="1"/>
    <col min="6" max="6" width="20.5" bestFit="1" customWidth="1"/>
    <col min="7" max="7" width="13.125" customWidth="1"/>
    <col min="8" max="8" width="12.75" bestFit="1" customWidth="1"/>
    <col min="9" max="9" width="20.5" bestFit="1" customWidth="1"/>
    <col min="10" max="10" width="15.25" customWidth="1"/>
    <col min="12" max="12" width="20.5" bestFit="1" customWidth="1"/>
  </cols>
  <sheetData>
    <row r="1" spans="2:7" ht="60.75" customHeight="1" thickBot="1" x14ac:dyDescent="0.25"/>
    <row r="2" spans="2:7" ht="20.25" x14ac:dyDescent="0.3">
      <c r="B2" s="117" t="s">
        <v>212</v>
      </c>
      <c r="C2" s="118"/>
      <c r="D2" s="119"/>
    </row>
    <row r="3" spans="2:7" x14ac:dyDescent="0.2">
      <c r="B3" s="120" t="s">
        <v>226</v>
      </c>
      <c r="C3" s="116">
        <v>35</v>
      </c>
      <c r="D3" s="121" t="s">
        <v>239</v>
      </c>
    </row>
    <row r="4" spans="2:7" x14ac:dyDescent="0.2">
      <c r="B4" s="120" t="s">
        <v>241</v>
      </c>
      <c r="C4" s="116">
        <v>970</v>
      </c>
      <c r="D4" s="122" t="s">
        <v>214</v>
      </c>
    </row>
    <row r="5" spans="2:7" x14ac:dyDescent="0.2">
      <c r="B5" s="120" t="s">
        <v>242</v>
      </c>
      <c r="C5" s="116">
        <v>1450</v>
      </c>
      <c r="D5" s="122" t="s">
        <v>214</v>
      </c>
    </row>
    <row r="6" spans="2:7" x14ac:dyDescent="0.2">
      <c r="B6" s="120" t="s">
        <v>224</v>
      </c>
      <c r="C6" s="116">
        <v>2000</v>
      </c>
      <c r="D6" s="122" t="s">
        <v>214</v>
      </c>
    </row>
    <row r="7" spans="2:7" ht="15" thickBot="1" x14ac:dyDescent="0.25">
      <c r="B7" s="123" t="s">
        <v>225</v>
      </c>
      <c r="C7" s="124">
        <v>50</v>
      </c>
      <c r="D7" s="125" t="s">
        <v>214</v>
      </c>
    </row>
    <row r="8" spans="2:7" ht="15" thickBot="1" x14ac:dyDescent="0.25"/>
    <row r="9" spans="2:7" ht="21" x14ac:dyDescent="0.35">
      <c r="B9" s="153" t="s">
        <v>227</v>
      </c>
      <c r="C9" s="154"/>
      <c r="E9">
        <v>6</v>
      </c>
    </row>
    <row r="10" spans="2:7" ht="23.25" customHeight="1" x14ac:dyDescent="0.2">
      <c r="B10" s="66">
        <v>0</v>
      </c>
      <c r="C10" s="113" t="s">
        <v>240</v>
      </c>
    </row>
    <row r="11" spans="2:7" ht="23.25" customHeight="1" x14ac:dyDescent="0.2">
      <c r="B11" s="66">
        <v>1</v>
      </c>
      <c r="C11" s="113" t="s">
        <v>228</v>
      </c>
      <c r="D11" s="21"/>
      <c r="G11" s="21"/>
    </row>
    <row r="12" spans="2:7" ht="23.25" customHeight="1" x14ac:dyDescent="0.2">
      <c r="B12" s="66">
        <v>2</v>
      </c>
      <c r="C12" s="113" t="s">
        <v>229</v>
      </c>
      <c r="D12" s="21"/>
      <c r="G12" s="21"/>
    </row>
    <row r="13" spans="2:7" ht="23.25" customHeight="1" x14ac:dyDescent="0.2">
      <c r="B13" s="66">
        <v>3</v>
      </c>
      <c r="C13" s="113" t="s">
        <v>230</v>
      </c>
      <c r="D13" s="21"/>
      <c r="G13" s="21"/>
    </row>
    <row r="14" spans="2:7" ht="23.25" customHeight="1" x14ac:dyDescent="0.2">
      <c r="B14" s="66">
        <v>4</v>
      </c>
      <c r="C14" s="113" t="s">
        <v>231</v>
      </c>
      <c r="D14" s="21"/>
      <c r="G14" s="21"/>
    </row>
    <row r="15" spans="2:7" ht="23.25" customHeight="1" x14ac:dyDescent="0.2">
      <c r="B15" s="66">
        <v>5</v>
      </c>
      <c r="C15" s="113" t="s">
        <v>275</v>
      </c>
      <c r="D15" s="21"/>
      <c r="G15" s="21"/>
    </row>
    <row r="16" spans="2:7" ht="23.25" customHeight="1" thickBot="1" x14ac:dyDescent="0.25">
      <c r="B16" s="66">
        <v>6</v>
      </c>
      <c r="C16" s="113" t="s">
        <v>276</v>
      </c>
      <c r="D16" s="21"/>
      <c r="G16" s="21"/>
    </row>
    <row r="17" spans="2:9" ht="23.25" customHeight="1" x14ac:dyDescent="0.35">
      <c r="B17" s="153" t="s">
        <v>232</v>
      </c>
      <c r="C17" s="154"/>
      <c r="D17" s="21"/>
      <c r="E17">
        <v>0</v>
      </c>
      <c r="G17" s="21"/>
      <c r="H17" s="21"/>
      <c r="I17" s="21"/>
    </row>
    <row r="18" spans="2:9" ht="23.25" customHeight="1" x14ac:dyDescent="0.2">
      <c r="B18" s="65">
        <v>0</v>
      </c>
      <c r="C18" s="113" t="s">
        <v>233</v>
      </c>
    </row>
    <row r="19" spans="2:9" ht="23.25" customHeight="1" x14ac:dyDescent="0.2">
      <c r="B19" s="65">
        <v>1</v>
      </c>
      <c r="C19" s="113" t="s">
        <v>234</v>
      </c>
    </row>
    <row r="20" spans="2:9" ht="23.25" customHeight="1" x14ac:dyDescent="0.2">
      <c r="B20" s="65">
        <v>2</v>
      </c>
      <c r="C20" s="113" t="s">
        <v>235</v>
      </c>
    </row>
    <row r="21" spans="2:9" ht="23.25" customHeight="1" x14ac:dyDescent="0.2">
      <c r="B21" s="72">
        <v>3</v>
      </c>
      <c r="C21" s="114" t="s">
        <v>236</v>
      </c>
    </row>
    <row r="22" spans="2:9" ht="23.25" customHeight="1" thickBot="1" x14ac:dyDescent="0.25">
      <c r="B22" s="67">
        <v>4</v>
      </c>
      <c r="C22" s="115" t="s">
        <v>237</v>
      </c>
    </row>
    <row r="23" spans="2:9" ht="23.25" customHeight="1" x14ac:dyDescent="0.2">
      <c r="B23" s="151" t="s">
        <v>238</v>
      </c>
      <c r="C23" s="152"/>
      <c r="E23">
        <v>0</v>
      </c>
    </row>
    <row r="24" spans="2:9" ht="23.25" customHeight="1" x14ac:dyDescent="0.2">
      <c r="B24" s="65">
        <v>0</v>
      </c>
      <c r="C24" s="113" t="s">
        <v>245</v>
      </c>
    </row>
    <row r="25" spans="2:9" ht="23.25" customHeight="1" thickBot="1" x14ac:dyDescent="0.25">
      <c r="B25" s="65">
        <v>1</v>
      </c>
      <c r="C25" s="113" t="s">
        <v>246</v>
      </c>
    </row>
    <row r="26" spans="2:9" ht="23.25" customHeight="1" x14ac:dyDescent="0.35">
      <c r="B26" s="153" t="s">
        <v>247</v>
      </c>
      <c r="C26" s="154"/>
      <c r="E26">
        <v>0</v>
      </c>
    </row>
    <row r="27" spans="2:9" ht="15" x14ac:dyDescent="0.2">
      <c r="B27" s="65">
        <v>0</v>
      </c>
      <c r="C27" s="113" t="s">
        <v>248</v>
      </c>
    </row>
    <row r="28" spans="2:9" ht="15" x14ac:dyDescent="0.2">
      <c r="B28" s="65">
        <v>1</v>
      </c>
      <c r="C28" s="113" t="s">
        <v>229</v>
      </c>
    </row>
    <row r="29" spans="2:9" ht="15" x14ac:dyDescent="0.2">
      <c r="B29" s="65">
        <v>2</v>
      </c>
      <c r="C29" s="113" t="s">
        <v>249</v>
      </c>
    </row>
    <row r="30" spans="2:9" ht="15.75" thickBot="1" x14ac:dyDescent="0.25">
      <c r="B30" s="67">
        <v>3</v>
      </c>
      <c r="C30" s="115" t="s">
        <v>231</v>
      </c>
    </row>
  </sheetData>
  <mergeCells count="4">
    <mergeCell ref="B23:C23"/>
    <mergeCell ref="B17:C17"/>
    <mergeCell ref="B26:C26"/>
    <mergeCell ref="B9:C9"/>
  </mergeCells>
  <pageMargins left="0.7" right="0.7" top="0.75" bottom="0.75" header="0.3" footer="0.3"/>
  <drawing r:id="rId1"/>
  <legacyDrawing r:id="rId2"/>
  <controls>
    <mc:AlternateContent xmlns:mc="http://schemas.openxmlformats.org/markup-compatibility/2006">
      <mc:Choice Requires="x14">
        <control shapeId="107527" r:id="rId3" name="cmbMovement">
          <controlPr defaultSize="0" autoLine="0" autoPict="0" linkedCell="E9" listFillRange="MovementRange" r:id="rId4">
            <anchor moveWithCells="1">
              <from>
                <xdr:col>3</xdr:col>
                <xdr:colOff>142875</xdr:colOff>
                <xdr:row>8</xdr:row>
                <xdr:rowOff>19050</xdr:rowOff>
              </from>
              <to>
                <xdr:col>5</xdr:col>
                <xdr:colOff>85725</xdr:colOff>
                <xdr:row>8</xdr:row>
                <xdr:rowOff>257175</xdr:rowOff>
              </to>
            </anchor>
          </controlPr>
        </control>
      </mc:Choice>
      <mc:Fallback>
        <control shapeId="107527" r:id="rId3" name="cmbMovement"/>
      </mc:Fallback>
    </mc:AlternateContent>
    <mc:AlternateContent xmlns:mc="http://schemas.openxmlformats.org/markup-compatibility/2006">
      <mc:Choice Requires="x14">
        <control shapeId="107528" r:id="rId5" name="cmbShape">
          <controlPr defaultSize="0" autoLine="0" autoPict="0" linkedCell="PinballShape" listFillRange="ShapeRange" r:id="rId6">
            <anchor moveWithCells="1">
              <from>
                <xdr:col>3</xdr:col>
                <xdr:colOff>142875</xdr:colOff>
                <xdr:row>16</xdr:row>
                <xdr:rowOff>47625</xdr:rowOff>
              </from>
              <to>
                <xdr:col>5</xdr:col>
                <xdr:colOff>142875</xdr:colOff>
                <xdr:row>17</xdr:row>
                <xdr:rowOff>0</xdr:rowOff>
              </to>
            </anchor>
          </controlPr>
        </control>
      </mc:Choice>
      <mc:Fallback>
        <control shapeId="107528" r:id="rId5" name="cmbShape"/>
      </mc:Fallback>
    </mc:AlternateContent>
    <mc:AlternateContent xmlns:mc="http://schemas.openxmlformats.org/markup-compatibility/2006">
      <mc:Choice Requires="x14">
        <control shapeId="107529" r:id="rId7" name="cmbInvert">
          <controlPr defaultSize="0" autoLine="0" linkedCell="PinballInvert" listFillRange="InvertedRange" r:id="rId8">
            <anchor moveWithCells="1">
              <from>
                <xdr:col>3</xdr:col>
                <xdr:colOff>95250</xdr:colOff>
                <xdr:row>22</xdr:row>
                <xdr:rowOff>9525</xdr:rowOff>
              </from>
              <to>
                <xdr:col>5</xdr:col>
                <xdr:colOff>409575</xdr:colOff>
                <xdr:row>22</xdr:row>
                <xdr:rowOff>247650</xdr:rowOff>
              </to>
            </anchor>
          </controlPr>
        </control>
      </mc:Choice>
      <mc:Fallback>
        <control shapeId="107529" r:id="rId7" name="cmbInvert"/>
      </mc:Fallback>
    </mc:AlternateContent>
    <mc:AlternateContent xmlns:mc="http://schemas.openxmlformats.org/markup-compatibility/2006">
      <mc:Choice Requires="x14">
        <control shapeId="107530" r:id="rId9" name="cmbLHres">
          <controlPr defaultSize="0" autoLine="0" linkedCell="PinballLHres" listFillRange="LHresRange" r:id="rId10">
            <anchor moveWithCells="1">
              <from>
                <xdr:col>3</xdr:col>
                <xdr:colOff>123825</xdr:colOff>
                <xdr:row>25</xdr:row>
                <xdr:rowOff>38100</xdr:rowOff>
              </from>
              <to>
                <xdr:col>5</xdr:col>
                <xdr:colOff>438150</xdr:colOff>
                <xdr:row>25</xdr:row>
                <xdr:rowOff>276225</xdr:rowOff>
              </to>
            </anchor>
          </controlPr>
        </control>
      </mc:Choice>
      <mc:Fallback>
        <control shapeId="107530" r:id="rId9" name="cmbLHres"/>
      </mc:Fallback>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BFBE9E-0DCA-41D3-8E06-6C146C7FB5DE}">
  <sheetPr codeName="Sheet5"/>
  <dimension ref="A1:C7"/>
  <sheetViews>
    <sheetView workbookViewId="0">
      <selection activeCell="B5" sqref="B5"/>
    </sheetView>
  </sheetViews>
  <sheetFormatPr defaultRowHeight="14.25" x14ac:dyDescent="0.2"/>
  <cols>
    <col min="1" max="1" width="17" customWidth="1"/>
    <col min="2" max="2" width="73" customWidth="1"/>
  </cols>
  <sheetData>
    <row r="1" spans="1:3" x14ac:dyDescent="0.2">
      <c r="A1" t="s">
        <v>203</v>
      </c>
      <c r="B1" t="s">
        <v>286</v>
      </c>
      <c r="C1" t="s">
        <v>279</v>
      </c>
    </row>
    <row r="2" spans="1:3" x14ac:dyDescent="0.2">
      <c r="A2" t="s">
        <v>204</v>
      </c>
      <c r="B2" t="s">
        <v>287</v>
      </c>
      <c r="C2" t="s">
        <v>280</v>
      </c>
    </row>
    <row r="3" spans="1:3" x14ac:dyDescent="0.2">
      <c r="A3" t="s">
        <v>205</v>
      </c>
      <c r="B3" t="s">
        <v>288</v>
      </c>
      <c r="C3" t="s">
        <v>281</v>
      </c>
    </row>
    <row r="4" spans="1:3" x14ac:dyDescent="0.2">
      <c r="A4" t="s">
        <v>206</v>
      </c>
      <c r="B4" s="56">
        <v>1883</v>
      </c>
      <c r="C4" t="s">
        <v>282</v>
      </c>
    </row>
    <row r="5" spans="1:3" x14ac:dyDescent="0.2">
      <c r="A5" t="s">
        <v>207</v>
      </c>
      <c r="B5" s="56" t="s">
        <v>289</v>
      </c>
      <c r="C5" t="s">
        <v>283</v>
      </c>
    </row>
    <row r="7" spans="1:3" ht="24" customHeight="1" x14ac:dyDescent="0.2"/>
  </sheetData>
  <pageMargins left="0.75" right="0.75" top="1" bottom="1" header="0.5" footer="0.5"/>
  <pageSetup paperSize="9" orientation="portrait" verticalDpi="0"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O533"/>
  <sheetViews>
    <sheetView workbookViewId="0">
      <selection activeCell="D1" sqref="D1"/>
    </sheetView>
  </sheetViews>
  <sheetFormatPr defaultRowHeight="14.25" x14ac:dyDescent="0.2"/>
  <cols>
    <col min="7" max="7" width="2.375" customWidth="1"/>
    <col min="8" max="9" width="2.25" customWidth="1"/>
    <col min="10" max="11" width="1.875" bestFit="1" customWidth="1"/>
    <col min="12" max="12" width="2.125" customWidth="1"/>
  </cols>
  <sheetData>
    <row r="1" spans="1:13" x14ac:dyDescent="0.2">
      <c r="B1" t="str">
        <f>VLOOKUP($D1,$E$1:$I$1053,2,FALSE)</f>
        <v>!</v>
      </c>
      <c r="D1" s="17">
        <v>33</v>
      </c>
      <c r="E1">
        <f>CODE(F1)</f>
        <v>65</v>
      </c>
      <c r="F1" t="s">
        <v>15</v>
      </c>
      <c r="G1">
        <v>1</v>
      </c>
      <c r="H1">
        <v>1</v>
      </c>
      <c r="I1">
        <v>1</v>
      </c>
    </row>
    <row r="2" spans="1:13" x14ac:dyDescent="0.2">
      <c r="A2" t="s">
        <v>122</v>
      </c>
      <c r="B2" s="16">
        <f>IF(ISNA(B1),0,Font2!B2)</f>
        <v>1</v>
      </c>
      <c r="D2">
        <f>D1+256</f>
        <v>289</v>
      </c>
      <c r="E2">
        <f>E1+256</f>
        <v>321</v>
      </c>
      <c r="F2">
        <v>1</v>
      </c>
      <c r="G2">
        <v>1</v>
      </c>
      <c r="I2">
        <v>1</v>
      </c>
    </row>
    <row r="3" spans="1:13" x14ac:dyDescent="0.2">
      <c r="A3" t="s">
        <v>119</v>
      </c>
      <c r="B3">
        <f>VLOOKUP($D2,$E$1:$K$999,2,FALSE)</f>
        <v>1</v>
      </c>
      <c r="C3">
        <f>B5</f>
        <v>0</v>
      </c>
      <c r="D3">
        <f t="shared" ref="D3:E5" si="0">D2+256</f>
        <v>545</v>
      </c>
      <c r="E3">
        <f t="shared" si="0"/>
        <v>577</v>
      </c>
      <c r="F3">
        <v>3</v>
      </c>
      <c r="G3">
        <v>1</v>
      </c>
      <c r="H3">
        <v>1</v>
      </c>
      <c r="I3">
        <v>1</v>
      </c>
    </row>
    <row r="4" spans="1:13" x14ac:dyDescent="0.2">
      <c r="A4" t="s">
        <v>120</v>
      </c>
      <c r="B4">
        <f>VLOOKUP($D3,$E$1:$I$1053,2,FALSE)</f>
        <v>3</v>
      </c>
      <c r="C4">
        <f>B4</f>
        <v>3</v>
      </c>
      <c r="D4">
        <f t="shared" si="0"/>
        <v>801</v>
      </c>
      <c r="E4">
        <f t="shared" si="0"/>
        <v>833</v>
      </c>
      <c r="F4">
        <v>0</v>
      </c>
      <c r="G4">
        <v>1</v>
      </c>
      <c r="I4">
        <v>1</v>
      </c>
    </row>
    <row r="5" spans="1:13" x14ac:dyDescent="0.2">
      <c r="A5" t="s">
        <v>121</v>
      </c>
      <c r="B5">
        <f>VLOOKUP($D4,$E$1:$I$1053,2,FALSE)</f>
        <v>0</v>
      </c>
      <c r="C5">
        <f>B3</f>
        <v>1</v>
      </c>
      <c r="D5">
        <f t="shared" si="0"/>
        <v>1057</v>
      </c>
      <c r="E5">
        <f t="shared" si="0"/>
        <v>1089</v>
      </c>
      <c r="G5">
        <v>1</v>
      </c>
      <c r="I5">
        <v>1</v>
      </c>
    </row>
    <row r="6" spans="1:13" x14ac:dyDescent="0.2">
      <c r="A6">
        <v>1</v>
      </c>
      <c r="B6" s="19">
        <f>IF(A6&lt;=$B$4,VLOOKUP($D1,$E$1:$L$1053,2+A6,FALSE),"")</f>
        <v>0</v>
      </c>
      <c r="C6" s="18">
        <f>IF(A6&lt;=$B$4,VLOOKUP($D1,$E$1:$L$1053,$B$4+3-A6,FALSE),"")</f>
        <v>1</v>
      </c>
      <c r="D6" s="15"/>
    </row>
    <row r="7" spans="1:13" x14ac:dyDescent="0.2">
      <c r="A7">
        <v>1</v>
      </c>
      <c r="B7" s="19">
        <f>IF(A7&lt;=$B$4,VLOOKUP($D2,$E$1:$L$1053,2+A7,FALSE),"")</f>
        <v>0</v>
      </c>
      <c r="C7" s="18">
        <f>IF(A7&lt;=$B$4,VLOOKUP($D2,$E$1:$L$1053,$B$4+3-A7,FALSE),"")</f>
        <v>1</v>
      </c>
      <c r="E7">
        <f>CODE(F7)</f>
        <v>66</v>
      </c>
      <c r="F7" t="s">
        <v>16</v>
      </c>
      <c r="G7">
        <v>1</v>
      </c>
      <c r="H7">
        <v>1</v>
      </c>
      <c r="I7">
        <v>1</v>
      </c>
      <c r="M7" s="12"/>
    </row>
    <row r="8" spans="1:13" x14ac:dyDescent="0.2">
      <c r="A8">
        <v>1</v>
      </c>
      <c r="B8" s="19">
        <f>IF(A8&lt;=$B$4,VLOOKUP($D3,$E$1:$L$1053,2+A8,FALSE),"")</f>
        <v>0</v>
      </c>
      <c r="C8" s="18">
        <f>IF(A8&lt;=$B$4,VLOOKUP($D3,$E$1:$L$1053,$B$4+3-A8,FALSE),"")</f>
        <v>0</v>
      </c>
      <c r="E8">
        <f>E7+256</f>
        <v>322</v>
      </c>
      <c r="F8">
        <v>1</v>
      </c>
      <c r="G8">
        <v>1</v>
      </c>
      <c r="I8">
        <v>1</v>
      </c>
    </row>
    <row r="9" spans="1:13" x14ac:dyDescent="0.2">
      <c r="A9">
        <v>1</v>
      </c>
      <c r="B9" s="19">
        <f>IF(A9&lt;=$B$4,VLOOKUP($D4,$E$1:$L$1053,2+A9,FALSE),"")</f>
        <v>0</v>
      </c>
      <c r="C9" s="18">
        <f>IF(A9&lt;=$B$4,VLOOKUP($D4,$E$1:$L$1053,$B$4+3-A9,FALSE),"")</f>
        <v>0</v>
      </c>
      <c r="E9">
        <f>E8+256</f>
        <v>578</v>
      </c>
      <c r="F9">
        <v>3</v>
      </c>
      <c r="G9">
        <v>1</v>
      </c>
      <c r="H9">
        <v>1</v>
      </c>
    </row>
    <row r="10" spans="1:13" x14ac:dyDescent="0.2">
      <c r="A10">
        <v>1</v>
      </c>
      <c r="B10" s="19">
        <f>IF(A10&lt;=$B$4,VLOOKUP($D5,$E$1:$L$1053,2+A10,FALSE),"")</f>
        <v>0</v>
      </c>
      <c r="C10" s="18">
        <f>IF(A10&lt;=$B$4,VLOOKUP($D5,$E$1:$L$1053,$B$4+3-A10,FALSE),"")</f>
        <v>0</v>
      </c>
      <c r="E10">
        <f>E9+256</f>
        <v>834</v>
      </c>
      <c r="F10">
        <v>0</v>
      </c>
      <c r="G10">
        <v>1</v>
      </c>
      <c r="I10">
        <v>1</v>
      </c>
    </row>
    <row r="11" spans="1:13" x14ac:dyDescent="0.2">
      <c r="A11">
        <v>2</v>
      </c>
      <c r="B11" s="18">
        <f>IF(A11&lt;=$B$4,VLOOKUP($D1,$E$1:$L$1053,2+A11,FALSE),"")</f>
        <v>1</v>
      </c>
      <c r="C11" s="19">
        <f>IF(A11&lt;=$B$4,VLOOKUP($D1,$E$1:$L$1053,$B$4+3-A11,FALSE),"")</f>
        <v>1</v>
      </c>
      <c r="E11">
        <f>E10+256</f>
        <v>1090</v>
      </c>
      <c r="G11">
        <v>1</v>
      </c>
      <c r="H11">
        <v>1</v>
      </c>
      <c r="I11">
        <v>1</v>
      </c>
    </row>
    <row r="12" spans="1:13" x14ac:dyDescent="0.2">
      <c r="A12">
        <v>2</v>
      </c>
      <c r="B12" s="18">
        <f>IF(A12&lt;=$B$4,VLOOKUP($D2,$E$1:$L$1053,2+A12,FALSE),"")</f>
        <v>1</v>
      </c>
      <c r="C12" s="19">
        <f>IF(A12&lt;=$B$4,VLOOKUP($D2,$E$1:$L$1053,$B$4+3-A12,FALSE),"")</f>
        <v>1</v>
      </c>
    </row>
    <row r="13" spans="1:13" x14ac:dyDescent="0.2">
      <c r="A13">
        <v>2</v>
      </c>
      <c r="B13" s="18">
        <f>IF(A13&lt;=$B$4,VLOOKUP($D3,$E$1:$L$1053,2+A13,FALSE),"")</f>
        <v>1</v>
      </c>
      <c r="C13" s="19">
        <f>IF(A13&lt;=$B$4,VLOOKUP($D3,$E$1:$L$1053,$B$4+3-A13,FALSE),"")</f>
        <v>1</v>
      </c>
      <c r="E13">
        <f>CODE(F13)</f>
        <v>67</v>
      </c>
      <c r="F13" t="s">
        <v>17</v>
      </c>
      <c r="G13">
        <v>1</v>
      </c>
      <c r="H13">
        <v>1</v>
      </c>
      <c r="I13">
        <v>1</v>
      </c>
    </row>
    <row r="14" spans="1:13" x14ac:dyDescent="0.2">
      <c r="A14">
        <v>2</v>
      </c>
      <c r="B14" s="18">
        <f>IF(A14&lt;=$B$4,VLOOKUP($D4,$E$1:$L$1053,2+A14,FALSE),"")</f>
        <v>0</v>
      </c>
      <c r="C14" s="19">
        <f>IF(A14&lt;=$B$4,VLOOKUP($D4,$E$1:$L$1053,$B$4+3-A14,FALSE),"")</f>
        <v>0</v>
      </c>
      <c r="E14">
        <f>E13+256</f>
        <v>323</v>
      </c>
      <c r="F14">
        <v>1</v>
      </c>
      <c r="G14">
        <v>1</v>
      </c>
    </row>
    <row r="15" spans="1:13" x14ac:dyDescent="0.2">
      <c r="A15">
        <v>2</v>
      </c>
      <c r="B15" s="18">
        <f>IF(A15&lt;=$B$4,VLOOKUP($D5,$E$1:$L$1053,2+A15,FALSE),"")</f>
        <v>1</v>
      </c>
      <c r="C15" s="19">
        <f>IF(A15&lt;=$B$4,VLOOKUP($D5,$E$1:$L$1053,$B$4+3-A15,FALSE),"")</f>
        <v>1</v>
      </c>
      <c r="E15">
        <f>E14+256</f>
        <v>579</v>
      </c>
      <c r="F15">
        <v>3</v>
      </c>
      <c r="G15">
        <v>1</v>
      </c>
    </row>
    <row r="16" spans="1:13" x14ac:dyDescent="0.2">
      <c r="A16">
        <v>3</v>
      </c>
      <c r="B16" s="19">
        <f>IF(A16&lt;=$B$4,VLOOKUP($D1,$E$1:$L$1053,2+A16,FALSE),"")</f>
        <v>1</v>
      </c>
      <c r="C16" s="18">
        <f>IF(A16&lt;=$B$4,VLOOKUP($D1,$E$1:$L$1053,$B$4+3-A16,FALSE),"")</f>
        <v>0</v>
      </c>
      <c r="E16">
        <f>E15+256</f>
        <v>835</v>
      </c>
      <c r="F16">
        <v>0</v>
      </c>
      <c r="G16">
        <v>1</v>
      </c>
    </row>
    <row r="17" spans="1:9" x14ac:dyDescent="0.2">
      <c r="A17">
        <v>3</v>
      </c>
      <c r="B17" s="19">
        <f>IF(A17&lt;=$B$4,VLOOKUP($D2,$E$1:$L$1053,2+A17,FALSE),"")</f>
        <v>1</v>
      </c>
      <c r="C17" s="18">
        <f>IF(A17&lt;=$B$4,VLOOKUP($D2,$E$1:$L$1053,$B$4+3-A17,FALSE),"")</f>
        <v>0</v>
      </c>
      <c r="E17">
        <f>E16+256</f>
        <v>1091</v>
      </c>
      <c r="G17">
        <v>1</v>
      </c>
      <c r="H17">
        <v>1</v>
      </c>
      <c r="I17">
        <v>1</v>
      </c>
    </row>
    <row r="18" spans="1:9" x14ac:dyDescent="0.2">
      <c r="A18">
        <v>3</v>
      </c>
      <c r="B18" s="19">
        <f>IF(A18&lt;=$B$4,VLOOKUP($D3,$E$1:$L$1053,2+A18,FALSE),"")</f>
        <v>0</v>
      </c>
      <c r="C18" s="18">
        <f>IF(A18&lt;=$B$4,VLOOKUP($D3,$E$1:$L$1053,$B$4+3-A18,FALSE),"")</f>
        <v>0</v>
      </c>
    </row>
    <row r="19" spans="1:9" x14ac:dyDescent="0.2">
      <c r="A19">
        <v>3</v>
      </c>
      <c r="B19" s="19">
        <f>IF(A19&lt;=$B$4,VLOOKUP($D4,$E$1:$L$1053,2+A19,FALSE),"")</f>
        <v>0</v>
      </c>
      <c r="C19" s="18">
        <f>IF(A19&lt;=$B$4,VLOOKUP($D4,$E$1:$L$1053,$B$4+3-A19,FALSE),"")</f>
        <v>0</v>
      </c>
      <c r="E19">
        <f>CODE(F19)</f>
        <v>68</v>
      </c>
      <c r="F19" t="s">
        <v>18</v>
      </c>
      <c r="G19">
        <v>1</v>
      </c>
      <c r="H19">
        <v>1</v>
      </c>
    </row>
    <row r="20" spans="1:9" x14ac:dyDescent="0.2">
      <c r="A20">
        <v>3</v>
      </c>
      <c r="B20" s="19">
        <f>IF(A20&lt;=$B$4,VLOOKUP($D5,$E$1:$L$1053,2+A20,FALSE),"")</f>
        <v>0</v>
      </c>
      <c r="C20" s="18">
        <f>IF(A20&lt;=$B$4,VLOOKUP($D5,$E$1:$L$1053,$B$4+3-A20,FALSE),"")</f>
        <v>0</v>
      </c>
      <c r="E20">
        <f>E19+256</f>
        <v>324</v>
      </c>
      <c r="F20">
        <v>1</v>
      </c>
      <c r="G20">
        <v>1</v>
      </c>
      <c r="I20">
        <v>1</v>
      </c>
    </row>
    <row r="21" spans="1:9" x14ac:dyDescent="0.2">
      <c r="A21">
        <v>4</v>
      </c>
      <c r="B21" s="18" t="str">
        <f>IF(A21&lt;=$B$4,VLOOKUP($D1,$E$1:$L$1053,2+A21,FALSE),"")</f>
        <v/>
      </c>
      <c r="C21" s="19" t="str">
        <f>IF(A21&lt;=$B$4,VLOOKUP($D1,$E$1:$L$1053,$B$4+3-A21,FALSE),"")</f>
        <v/>
      </c>
      <c r="E21">
        <f>E20+256</f>
        <v>580</v>
      </c>
      <c r="F21">
        <v>3</v>
      </c>
      <c r="G21">
        <v>1</v>
      </c>
      <c r="I21">
        <v>1</v>
      </c>
    </row>
    <row r="22" spans="1:9" x14ac:dyDescent="0.2">
      <c r="A22">
        <v>4</v>
      </c>
      <c r="B22" s="18" t="str">
        <f>IF(A22&lt;=$B$4,VLOOKUP($D2,$E$1:$L$1053,2+A22,FALSE),"")</f>
        <v/>
      </c>
      <c r="C22" s="19" t="str">
        <f>IF(A22&lt;=$B$4,VLOOKUP($D2,$E$1:$L$1053,$B$4+3-A22,FALSE),"")</f>
        <v/>
      </c>
      <c r="E22">
        <f>E21+256</f>
        <v>836</v>
      </c>
      <c r="F22">
        <v>0</v>
      </c>
      <c r="G22">
        <v>1</v>
      </c>
      <c r="I22">
        <v>1</v>
      </c>
    </row>
    <row r="23" spans="1:9" x14ac:dyDescent="0.2">
      <c r="A23">
        <v>4</v>
      </c>
      <c r="B23" s="18" t="str">
        <f>IF(A23&lt;=$B$4,VLOOKUP($D3,$E$1:$L$1053,2+A23,FALSE),"")</f>
        <v/>
      </c>
      <c r="C23" s="19" t="str">
        <f>IF(A23&lt;=$B$4,VLOOKUP($D3,$E$1:$L$1053,$B$4+3-A23,FALSE),"")</f>
        <v/>
      </c>
      <c r="E23">
        <f>E22+256</f>
        <v>1092</v>
      </c>
      <c r="G23">
        <v>1</v>
      </c>
      <c r="H23">
        <v>1</v>
      </c>
    </row>
    <row r="24" spans="1:9" x14ac:dyDescent="0.2">
      <c r="A24">
        <v>4</v>
      </c>
      <c r="B24" s="18" t="str">
        <f>IF(A24&lt;=$B$4,VLOOKUP($D4,$E$1:$L$1053,2+A24,FALSE),"")</f>
        <v/>
      </c>
      <c r="C24" s="19" t="str">
        <f>IF(A24&lt;=$B$4,VLOOKUP($D4,$E$1:$L$1053,$B$4+3-A24,FALSE),"")</f>
        <v/>
      </c>
    </row>
    <row r="25" spans="1:9" x14ac:dyDescent="0.2">
      <c r="A25">
        <v>4</v>
      </c>
      <c r="B25" s="18" t="str">
        <f>IF(A25&lt;=$B$4,VLOOKUP($D5,$E$1:$L$1053,2+A25,FALSE),"")</f>
        <v/>
      </c>
      <c r="C25" s="19" t="str">
        <f>IF(A25&lt;=$B$4,VLOOKUP($D5,$E$1:$L$1053,$B$4+3-A25,FALSE),"")</f>
        <v/>
      </c>
      <c r="E25">
        <f>CODE(F25)</f>
        <v>69</v>
      </c>
      <c r="F25" t="s">
        <v>19</v>
      </c>
      <c r="G25">
        <v>1</v>
      </c>
      <c r="H25">
        <v>1</v>
      </c>
      <c r="I25">
        <v>1</v>
      </c>
    </row>
    <row r="26" spans="1:9" x14ac:dyDescent="0.2">
      <c r="A26">
        <v>5</v>
      </c>
      <c r="B26" s="19" t="str">
        <f>IF(A26&lt;=$B$4,VLOOKUP($D1,$E$1:$L$1053,2+A26,FALSE),"")</f>
        <v/>
      </c>
      <c r="C26" s="18" t="str">
        <f>IF(A26&lt;=$B$4,VLOOKUP($D1,$E$1:$L$1053,$B$4+3-A26,FALSE),"")</f>
        <v/>
      </c>
      <c r="E26">
        <f>E25+256</f>
        <v>325</v>
      </c>
      <c r="F26">
        <v>1</v>
      </c>
      <c r="G26">
        <v>1</v>
      </c>
    </row>
    <row r="27" spans="1:9" x14ac:dyDescent="0.2">
      <c r="A27">
        <v>5</v>
      </c>
      <c r="B27" s="19" t="str">
        <f>IF(A27&lt;=$B$4,VLOOKUP($D2,$E$1:$L$1053,2+A27,FALSE),"")</f>
        <v/>
      </c>
      <c r="C27" s="18" t="str">
        <f>IF(A27&lt;=$B$4,VLOOKUP($D2,$E$1:$L$1053,$B$4+3-A27,FALSE),"")</f>
        <v/>
      </c>
      <c r="E27">
        <f>E26+256</f>
        <v>581</v>
      </c>
      <c r="F27">
        <v>3</v>
      </c>
      <c r="G27">
        <v>1</v>
      </c>
      <c r="H27">
        <v>1</v>
      </c>
      <c r="I27">
        <v>1</v>
      </c>
    </row>
    <row r="28" spans="1:9" x14ac:dyDescent="0.2">
      <c r="A28">
        <v>5</v>
      </c>
      <c r="B28" s="19" t="str">
        <f>IF(A28&lt;=$B$4,VLOOKUP($D3,$E$1:$L$1053,2+A28,FALSE),"")</f>
        <v/>
      </c>
      <c r="C28" s="18" t="str">
        <f>IF(A28&lt;=$B$4,VLOOKUP($D3,$E$1:$L$1053,$B$4+3-A28,FALSE),"")</f>
        <v/>
      </c>
      <c r="E28">
        <f>E27+256</f>
        <v>837</v>
      </c>
      <c r="F28">
        <v>0</v>
      </c>
      <c r="G28">
        <v>1</v>
      </c>
    </row>
    <row r="29" spans="1:9" x14ac:dyDescent="0.2">
      <c r="A29">
        <v>5</v>
      </c>
      <c r="B29" s="19" t="str">
        <f>IF(A29&lt;=$B$4,VLOOKUP($D4,$E$1:$L$1053,2+A29,FALSE),"")</f>
        <v/>
      </c>
      <c r="C29" s="18" t="str">
        <f>IF(A29&lt;=$B$4,VLOOKUP($D4,$E$1:$L$1053,$B$4+3-A29,FALSE),"")</f>
        <v/>
      </c>
      <c r="E29">
        <f>E28+256</f>
        <v>1093</v>
      </c>
      <c r="G29">
        <v>1</v>
      </c>
      <c r="H29">
        <v>1</v>
      </c>
      <c r="I29">
        <v>1</v>
      </c>
    </row>
    <row r="30" spans="1:9" x14ac:dyDescent="0.2">
      <c r="A30">
        <v>5</v>
      </c>
      <c r="B30" s="19" t="str">
        <f>IF(A30&lt;=$B$4,VLOOKUP($D5,$E$1:$L$1053,2+A30,FALSE),"")</f>
        <v/>
      </c>
      <c r="C30" s="18" t="str">
        <f>IF(A30&lt;=$B$4,VLOOKUP($D5,$E$1:$L$1053,$B$4+3-A30,FALSE),"")</f>
        <v/>
      </c>
    </row>
    <row r="31" spans="1:9" x14ac:dyDescent="0.2">
      <c r="A31">
        <v>6</v>
      </c>
      <c r="B31" s="18" t="str">
        <f>IF(A31&lt;=$B$4,VLOOKUP($D1,$E$1:$L$1053,2+A31,FALSE),"")</f>
        <v/>
      </c>
      <c r="C31" s="19" t="str">
        <f>IF(A31&lt;=$B$4,VLOOKUP($D1,$E$1:$L$1053,$B$4+3-A31,FALSE),"")</f>
        <v/>
      </c>
      <c r="E31">
        <f>CODE(F31)</f>
        <v>70</v>
      </c>
      <c r="F31" t="s">
        <v>20</v>
      </c>
      <c r="G31">
        <v>1</v>
      </c>
      <c r="H31">
        <v>1</v>
      </c>
      <c r="I31">
        <v>1</v>
      </c>
    </row>
    <row r="32" spans="1:9" x14ac:dyDescent="0.2">
      <c r="A32">
        <v>6</v>
      </c>
      <c r="B32" s="18" t="str">
        <f>IF(A32&lt;=$B$4,VLOOKUP($D2,$E$1:$L$1053,2+A32,FALSE),"")</f>
        <v/>
      </c>
      <c r="C32" s="19" t="str">
        <f>IF(A32&lt;=$B$4,VLOOKUP($D2,$E$1:$L$1053,$B$4+3-A32,FALSE),"")</f>
        <v/>
      </c>
      <c r="E32">
        <f>E31+256</f>
        <v>326</v>
      </c>
      <c r="F32">
        <v>1</v>
      </c>
      <c r="G32">
        <v>1</v>
      </c>
    </row>
    <row r="33" spans="1:15" x14ac:dyDescent="0.2">
      <c r="A33">
        <v>6</v>
      </c>
      <c r="B33" s="18" t="str">
        <f>IF(A33&lt;=$B$4,VLOOKUP($D3,$E$1:$L$1053,2+A33,FALSE),"")</f>
        <v/>
      </c>
      <c r="C33" s="19" t="str">
        <f>IF(A33&lt;=$B$4,VLOOKUP($D3,$E$1:$L$1053,$B$4+3-A33,FALSE),"")</f>
        <v/>
      </c>
      <c r="E33">
        <f>E32+256</f>
        <v>582</v>
      </c>
      <c r="F33">
        <v>3</v>
      </c>
      <c r="G33">
        <v>1</v>
      </c>
      <c r="H33">
        <v>1</v>
      </c>
      <c r="I33">
        <v>1</v>
      </c>
    </row>
    <row r="34" spans="1:15" x14ac:dyDescent="0.2">
      <c r="A34">
        <v>6</v>
      </c>
      <c r="B34" s="18" t="str">
        <f>IF(A34&lt;=$B$4,VLOOKUP($D4,$E$1:$L$1053,2+A34,FALSE),"")</f>
        <v/>
      </c>
      <c r="C34" s="19" t="str">
        <f>IF(A34&lt;=$B$4,VLOOKUP($D4,$E$1:$L$1053,$B$4+3-A34,FALSE),"")</f>
        <v/>
      </c>
      <c r="E34">
        <f>E33+256</f>
        <v>838</v>
      </c>
      <c r="F34">
        <v>0</v>
      </c>
      <c r="G34">
        <v>1</v>
      </c>
    </row>
    <row r="35" spans="1:15" x14ac:dyDescent="0.2">
      <c r="A35">
        <v>6</v>
      </c>
      <c r="B35" s="18" t="str">
        <f>IF(A35&lt;=$B$4,VLOOKUP($D5,$E$1:$L$1053,2+A35,FALSE),"")</f>
        <v/>
      </c>
      <c r="C35" s="19" t="str">
        <f>IF(A35&lt;=$B$4,VLOOKUP($D5,$E$1:$L$1053,$B$4+3-A35,FALSE),"")</f>
        <v/>
      </c>
      <c r="E35">
        <f>E34+256</f>
        <v>1094</v>
      </c>
      <c r="G35">
        <v>1</v>
      </c>
    </row>
    <row r="37" spans="1:15" x14ac:dyDescent="0.2">
      <c r="E37">
        <f>CODE(F37)</f>
        <v>71</v>
      </c>
      <c r="F37" t="s">
        <v>22</v>
      </c>
      <c r="G37">
        <v>1</v>
      </c>
      <c r="H37">
        <v>1</v>
      </c>
      <c r="I37">
        <v>1</v>
      </c>
      <c r="M37" s="12"/>
      <c r="N37" s="12"/>
      <c r="O37" s="12"/>
    </row>
    <row r="38" spans="1:15" x14ac:dyDescent="0.2">
      <c r="E38">
        <f>E37+256</f>
        <v>327</v>
      </c>
      <c r="F38">
        <v>1</v>
      </c>
      <c r="G38">
        <v>1</v>
      </c>
      <c r="M38" s="12"/>
      <c r="N38" s="12"/>
      <c r="O38" s="12"/>
    </row>
    <row r="39" spans="1:15" x14ac:dyDescent="0.2">
      <c r="E39">
        <f>E38+256</f>
        <v>583</v>
      </c>
      <c r="F39">
        <v>3</v>
      </c>
      <c r="G39">
        <v>1</v>
      </c>
      <c r="I39">
        <v>1</v>
      </c>
      <c r="M39" s="12"/>
      <c r="N39" s="12"/>
      <c r="O39" s="12"/>
    </row>
    <row r="40" spans="1:15" x14ac:dyDescent="0.2">
      <c r="E40">
        <f>E39+256</f>
        <v>839</v>
      </c>
      <c r="F40">
        <v>0</v>
      </c>
      <c r="G40">
        <v>1</v>
      </c>
      <c r="I40">
        <v>1</v>
      </c>
      <c r="M40" s="12"/>
      <c r="N40" s="12"/>
      <c r="O40" s="12"/>
    </row>
    <row r="41" spans="1:15" x14ac:dyDescent="0.2">
      <c r="E41">
        <f>E40+256</f>
        <v>1095</v>
      </c>
      <c r="G41">
        <v>1</v>
      </c>
      <c r="H41">
        <v>1</v>
      </c>
      <c r="I41">
        <v>1</v>
      </c>
      <c r="M41" s="12"/>
      <c r="N41" s="12"/>
      <c r="O41" s="12"/>
    </row>
    <row r="42" spans="1:15" x14ac:dyDescent="0.2">
      <c r="M42" s="12"/>
      <c r="N42" s="12"/>
      <c r="O42" s="12"/>
    </row>
    <row r="43" spans="1:15" x14ac:dyDescent="0.2">
      <c r="E43">
        <f>CODE(F43)</f>
        <v>72</v>
      </c>
      <c r="F43" t="s">
        <v>23</v>
      </c>
      <c r="G43">
        <v>1</v>
      </c>
      <c r="I43">
        <v>1</v>
      </c>
    </row>
    <row r="44" spans="1:15" x14ac:dyDescent="0.2">
      <c r="E44">
        <f>E43+256</f>
        <v>328</v>
      </c>
      <c r="F44">
        <v>1</v>
      </c>
      <c r="G44">
        <v>1</v>
      </c>
      <c r="I44">
        <v>1</v>
      </c>
    </row>
    <row r="45" spans="1:15" x14ac:dyDescent="0.2">
      <c r="E45">
        <f>E44+256</f>
        <v>584</v>
      </c>
      <c r="F45">
        <v>3</v>
      </c>
      <c r="G45">
        <v>1</v>
      </c>
      <c r="H45">
        <v>1</v>
      </c>
      <c r="I45">
        <v>1</v>
      </c>
    </row>
    <row r="46" spans="1:15" x14ac:dyDescent="0.2">
      <c r="E46">
        <f>E45+256</f>
        <v>840</v>
      </c>
      <c r="F46">
        <v>0</v>
      </c>
      <c r="G46">
        <v>1</v>
      </c>
      <c r="I46">
        <v>1</v>
      </c>
    </row>
    <row r="47" spans="1:15" x14ac:dyDescent="0.2">
      <c r="B47">
        <f>B3</f>
        <v>1</v>
      </c>
      <c r="C47">
        <f>B47</f>
        <v>1</v>
      </c>
      <c r="E47">
        <f>E46+256</f>
        <v>1096</v>
      </c>
      <c r="G47">
        <v>1</v>
      </c>
      <c r="I47">
        <v>1</v>
      </c>
    </row>
    <row r="48" spans="1:15" x14ac:dyDescent="0.2">
      <c r="B48">
        <f>B4</f>
        <v>3</v>
      </c>
      <c r="C48">
        <f>B48</f>
        <v>3</v>
      </c>
    </row>
    <row r="49" spans="1:9" x14ac:dyDescent="0.2">
      <c r="B49">
        <f>B5</f>
        <v>0</v>
      </c>
      <c r="C49">
        <f>B49</f>
        <v>0</v>
      </c>
      <c r="E49">
        <f>CODE(F49)</f>
        <v>73</v>
      </c>
      <c r="F49" t="s">
        <v>24</v>
      </c>
      <c r="G49">
        <v>1</v>
      </c>
      <c r="H49">
        <v>1</v>
      </c>
      <c r="I49">
        <v>1</v>
      </c>
    </row>
    <row r="50" spans="1:9" x14ac:dyDescent="0.2">
      <c r="A50">
        <v>1</v>
      </c>
      <c r="B50" s="18">
        <f>B6</f>
        <v>0</v>
      </c>
      <c r="C50" s="19">
        <f t="shared" ref="C50:C55" si="1">B74</f>
        <v>0</v>
      </c>
      <c r="E50">
        <f>E49+256</f>
        <v>329</v>
      </c>
      <c r="F50">
        <v>1</v>
      </c>
      <c r="H50">
        <v>1</v>
      </c>
    </row>
    <row r="51" spans="1:9" x14ac:dyDescent="0.2">
      <c r="A51">
        <v>2</v>
      </c>
      <c r="B51" s="18">
        <f>B11</f>
        <v>1</v>
      </c>
      <c r="C51" s="19">
        <f t="shared" si="1"/>
        <v>1</v>
      </c>
      <c r="E51">
        <f>E50+256</f>
        <v>585</v>
      </c>
      <c r="F51">
        <v>3</v>
      </c>
      <c r="H51">
        <v>1</v>
      </c>
    </row>
    <row r="52" spans="1:9" x14ac:dyDescent="0.2">
      <c r="A52">
        <v>3</v>
      </c>
      <c r="B52" s="18">
        <f>B16</f>
        <v>1</v>
      </c>
      <c r="C52" s="19">
        <f t="shared" si="1"/>
        <v>0</v>
      </c>
      <c r="E52">
        <f>E51+256</f>
        <v>841</v>
      </c>
      <c r="F52">
        <v>0</v>
      </c>
      <c r="H52">
        <v>1</v>
      </c>
    </row>
    <row r="53" spans="1:9" x14ac:dyDescent="0.2">
      <c r="A53">
        <v>4</v>
      </c>
      <c r="B53" s="18" t="str">
        <f>B21</f>
        <v/>
      </c>
      <c r="C53" s="19" t="str">
        <f t="shared" si="1"/>
        <v/>
      </c>
      <c r="E53">
        <f>E52+256</f>
        <v>1097</v>
      </c>
      <c r="G53">
        <v>1</v>
      </c>
      <c r="H53">
        <v>1</v>
      </c>
      <c r="I53">
        <v>1</v>
      </c>
    </row>
    <row r="54" spans="1:9" x14ac:dyDescent="0.2">
      <c r="A54">
        <v>5</v>
      </c>
      <c r="B54" s="18" t="str">
        <f>B26</f>
        <v/>
      </c>
      <c r="C54" s="19" t="str">
        <f t="shared" si="1"/>
        <v/>
      </c>
    </row>
    <row r="55" spans="1:9" x14ac:dyDescent="0.2">
      <c r="A55">
        <v>6</v>
      </c>
      <c r="B55" s="18" t="str">
        <f>B31</f>
        <v/>
      </c>
      <c r="C55" s="19" t="str">
        <f t="shared" si="1"/>
        <v/>
      </c>
      <c r="E55">
        <f>CODE(F55)</f>
        <v>74</v>
      </c>
      <c r="F55" t="s">
        <v>25</v>
      </c>
      <c r="G55">
        <v>1</v>
      </c>
      <c r="H55">
        <v>1</v>
      </c>
      <c r="I55">
        <v>1</v>
      </c>
    </row>
    <row r="56" spans="1:9" x14ac:dyDescent="0.2">
      <c r="A56">
        <v>1</v>
      </c>
      <c r="B56" s="19">
        <f>B7</f>
        <v>0</v>
      </c>
      <c r="C56" s="18">
        <f t="shared" ref="C56:C61" si="2">B68</f>
        <v>0</v>
      </c>
      <c r="E56">
        <f>E55+256</f>
        <v>330</v>
      </c>
      <c r="F56">
        <v>1</v>
      </c>
      <c r="I56">
        <v>1</v>
      </c>
    </row>
    <row r="57" spans="1:9" x14ac:dyDescent="0.2">
      <c r="A57">
        <v>2</v>
      </c>
      <c r="B57" s="19">
        <f>B12</f>
        <v>1</v>
      </c>
      <c r="C57" s="18">
        <f t="shared" si="2"/>
        <v>0</v>
      </c>
      <c r="E57">
        <f>E56+256</f>
        <v>586</v>
      </c>
      <c r="F57">
        <v>3</v>
      </c>
      <c r="I57">
        <v>1</v>
      </c>
    </row>
    <row r="58" spans="1:9" x14ac:dyDescent="0.2">
      <c r="A58">
        <v>3</v>
      </c>
      <c r="B58" s="19">
        <f>B17</f>
        <v>1</v>
      </c>
      <c r="C58" s="18">
        <f t="shared" si="2"/>
        <v>0</v>
      </c>
      <c r="E58">
        <f>E57+256</f>
        <v>842</v>
      </c>
      <c r="F58">
        <v>0</v>
      </c>
      <c r="G58">
        <v>1</v>
      </c>
      <c r="I58">
        <v>1</v>
      </c>
    </row>
    <row r="59" spans="1:9" x14ac:dyDescent="0.2">
      <c r="A59">
        <v>4</v>
      </c>
      <c r="B59" s="19" t="str">
        <f>B22</f>
        <v/>
      </c>
      <c r="C59" s="18" t="str">
        <f t="shared" si="2"/>
        <v/>
      </c>
      <c r="E59">
        <f>E58+256</f>
        <v>1098</v>
      </c>
      <c r="G59">
        <v>1</v>
      </c>
      <c r="H59">
        <v>1</v>
      </c>
      <c r="I59">
        <v>1</v>
      </c>
    </row>
    <row r="60" spans="1:9" x14ac:dyDescent="0.2">
      <c r="A60">
        <v>5</v>
      </c>
      <c r="B60" s="19" t="str">
        <f>B27</f>
        <v/>
      </c>
      <c r="C60" s="18" t="str">
        <f t="shared" si="2"/>
        <v/>
      </c>
    </row>
    <row r="61" spans="1:9" x14ac:dyDescent="0.2">
      <c r="A61">
        <v>6</v>
      </c>
      <c r="B61" s="19" t="str">
        <f>B32</f>
        <v/>
      </c>
      <c r="C61" s="18" t="str">
        <f t="shared" si="2"/>
        <v/>
      </c>
      <c r="E61">
        <f>CODE(F61)</f>
        <v>75</v>
      </c>
      <c r="F61" t="s">
        <v>26</v>
      </c>
      <c r="G61">
        <v>1</v>
      </c>
      <c r="I61">
        <v>1</v>
      </c>
    </row>
    <row r="62" spans="1:9" x14ac:dyDescent="0.2">
      <c r="A62">
        <v>1</v>
      </c>
      <c r="B62" s="18">
        <f>B8</f>
        <v>0</v>
      </c>
      <c r="C62" s="19">
        <f t="shared" ref="C62:C67" si="3">B62</f>
        <v>0</v>
      </c>
      <c r="E62">
        <f>E61+256</f>
        <v>331</v>
      </c>
      <c r="F62">
        <v>1</v>
      </c>
      <c r="G62">
        <v>1</v>
      </c>
      <c r="I62">
        <v>1</v>
      </c>
    </row>
    <row r="63" spans="1:9" x14ac:dyDescent="0.2">
      <c r="A63">
        <v>2</v>
      </c>
      <c r="B63" s="18">
        <f>B13</f>
        <v>1</v>
      </c>
      <c r="C63" s="19">
        <f t="shared" si="3"/>
        <v>1</v>
      </c>
      <c r="E63">
        <f>E62+256</f>
        <v>587</v>
      </c>
      <c r="F63">
        <v>3</v>
      </c>
      <c r="G63">
        <v>1</v>
      </c>
      <c r="H63">
        <v>1</v>
      </c>
    </row>
    <row r="64" spans="1:9" x14ac:dyDescent="0.2">
      <c r="A64">
        <v>3</v>
      </c>
      <c r="B64" s="18">
        <f>B18</f>
        <v>0</v>
      </c>
      <c r="C64" s="19">
        <f t="shared" si="3"/>
        <v>0</v>
      </c>
      <c r="E64">
        <f>E63+256</f>
        <v>843</v>
      </c>
      <c r="F64">
        <v>0</v>
      </c>
      <c r="G64">
        <v>1</v>
      </c>
      <c r="I64">
        <v>1</v>
      </c>
    </row>
    <row r="65" spans="1:9" x14ac:dyDescent="0.2">
      <c r="A65">
        <v>4</v>
      </c>
      <c r="B65" s="18" t="str">
        <f>B23</f>
        <v/>
      </c>
      <c r="C65" s="19" t="str">
        <f t="shared" si="3"/>
        <v/>
      </c>
      <c r="E65">
        <f>E64+256</f>
        <v>1099</v>
      </c>
      <c r="G65">
        <v>1</v>
      </c>
      <c r="I65">
        <v>1</v>
      </c>
    </row>
    <row r="66" spans="1:9" x14ac:dyDescent="0.2">
      <c r="A66">
        <v>5</v>
      </c>
      <c r="B66" s="18" t="str">
        <f>B28</f>
        <v/>
      </c>
      <c r="C66" s="19" t="str">
        <f t="shared" si="3"/>
        <v/>
      </c>
    </row>
    <row r="67" spans="1:9" x14ac:dyDescent="0.2">
      <c r="A67">
        <v>6</v>
      </c>
      <c r="B67" s="18" t="str">
        <f>B33</f>
        <v/>
      </c>
      <c r="C67" s="19" t="str">
        <f t="shared" si="3"/>
        <v/>
      </c>
      <c r="E67">
        <f>CODE(F67)</f>
        <v>76</v>
      </c>
      <c r="F67" t="s">
        <v>27</v>
      </c>
      <c r="G67">
        <v>1</v>
      </c>
    </row>
    <row r="68" spans="1:9" x14ac:dyDescent="0.2">
      <c r="A68">
        <v>1</v>
      </c>
      <c r="B68" s="19">
        <f>B9</f>
        <v>0</v>
      </c>
      <c r="C68" s="18">
        <f t="shared" ref="C68:C73" si="4">B56</f>
        <v>0</v>
      </c>
      <c r="E68">
        <f>E67+256</f>
        <v>332</v>
      </c>
      <c r="F68">
        <v>1</v>
      </c>
      <c r="G68">
        <v>1</v>
      </c>
    </row>
    <row r="69" spans="1:9" x14ac:dyDescent="0.2">
      <c r="A69">
        <v>2</v>
      </c>
      <c r="B69" s="19">
        <f>B14</f>
        <v>0</v>
      </c>
      <c r="C69" s="18">
        <f t="shared" si="4"/>
        <v>1</v>
      </c>
      <c r="E69">
        <f>E68+256</f>
        <v>588</v>
      </c>
      <c r="F69">
        <v>3</v>
      </c>
      <c r="G69">
        <v>1</v>
      </c>
    </row>
    <row r="70" spans="1:9" x14ac:dyDescent="0.2">
      <c r="A70">
        <v>3</v>
      </c>
      <c r="B70" s="19">
        <f>B19</f>
        <v>0</v>
      </c>
      <c r="C70" s="18">
        <f t="shared" si="4"/>
        <v>1</v>
      </c>
      <c r="E70">
        <f>E69+256</f>
        <v>844</v>
      </c>
      <c r="F70">
        <v>0</v>
      </c>
      <c r="G70">
        <v>1</v>
      </c>
    </row>
    <row r="71" spans="1:9" x14ac:dyDescent="0.2">
      <c r="A71">
        <v>4</v>
      </c>
      <c r="B71" s="19" t="str">
        <f>B24</f>
        <v/>
      </c>
      <c r="C71" s="18" t="str">
        <f t="shared" si="4"/>
        <v/>
      </c>
      <c r="E71">
        <f>E70+256</f>
        <v>1100</v>
      </c>
      <c r="G71">
        <v>1</v>
      </c>
      <c r="H71">
        <v>1</v>
      </c>
      <c r="I71">
        <v>1</v>
      </c>
    </row>
    <row r="72" spans="1:9" x14ac:dyDescent="0.2">
      <c r="A72">
        <v>5</v>
      </c>
      <c r="B72" s="19" t="str">
        <f>B29</f>
        <v/>
      </c>
      <c r="C72" s="18" t="str">
        <f t="shared" si="4"/>
        <v/>
      </c>
    </row>
    <row r="73" spans="1:9" x14ac:dyDescent="0.2">
      <c r="A73">
        <v>6</v>
      </c>
      <c r="B73" s="19" t="str">
        <f>B34</f>
        <v/>
      </c>
      <c r="C73" s="18" t="str">
        <f t="shared" si="4"/>
        <v/>
      </c>
      <c r="E73">
        <f>CODE(F73)</f>
        <v>77</v>
      </c>
      <c r="F73" t="s">
        <v>28</v>
      </c>
      <c r="G73">
        <v>1</v>
      </c>
      <c r="I73">
        <v>1</v>
      </c>
    </row>
    <row r="74" spans="1:9" x14ac:dyDescent="0.2">
      <c r="A74">
        <v>1</v>
      </c>
      <c r="B74" s="18">
        <f>B10</f>
        <v>0</v>
      </c>
      <c r="C74" s="19">
        <f t="shared" ref="C74:C79" si="5">B50</f>
        <v>0</v>
      </c>
      <c r="E74">
        <f>E73+256</f>
        <v>333</v>
      </c>
      <c r="F74">
        <v>1</v>
      </c>
      <c r="G74">
        <v>1</v>
      </c>
      <c r="H74">
        <v>1</v>
      </c>
      <c r="I74">
        <v>1</v>
      </c>
    </row>
    <row r="75" spans="1:9" x14ac:dyDescent="0.2">
      <c r="A75">
        <v>2</v>
      </c>
      <c r="B75" s="18">
        <f>B15</f>
        <v>1</v>
      </c>
      <c r="C75" s="19">
        <f t="shared" si="5"/>
        <v>1</v>
      </c>
      <c r="E75">
        <f>E74+256</f>
        <v>589</v>
      </c>
      <c r="F75">
        <v>3</v>
      </c>
      <c r="G75">
        <v>1</v>
      </c>
      <c r="H75">
        <v>1</v>
      </c>
      <c r="I75">
        <v>1</v>
      </c>
    </row>
    <row r="76" spans="1:9" x14ac:dyDescent="0.2">
      <c r="A76">
        <v>3</v>
      </c>
      <c r="B76" s="18">
        <f>B20</f>
        <v>0</v>
      </c>
      <c r="C76" s="19">
        <f t="shared" si="5"/>
        <v>1</v>
      </c>
      <c r="E76">
        <f>E75+256</f>
        <v>845</v>
      </c>
      <c r="F76">
        <v>0</v>
      </c>
      <c r="G76">
        <v>1</v>
      </c>
      <c r="I76">
        <v>1</v>
      </c>
    </row>
    <row r="77" spans="1:9" x14ac:dyDescent="0.2">
      <c r="A77">
        <v>4</v>
      </c>
      <c r="B77" s="18" t="str">
        <f>B25</f>
        <v/>
      </c>
      <c r="C77" s="19" t="str">
        <f t="shared" si="5"/>
        <v/>
      </c>
      <c r="E77">
        <f>E76+256</f>
        <v>1101</v>
      </c>
      <c r="G77">
        <v>1</v>
      </c>
      <c r="I77">
        <v>1</v>
      </c>
    </row>
    <row r="78" spans="1:9" x14ac:dyDescent="0.2">
      <c r="A78">
        <v>5</v>
      </c>
      <c r="B78" s="18" t="str">
        <f>B30</f>
        <v/>
      </c>
      <c r="C78" s="19" t="str">
        <f t="shared" si="5"/>
        <v/>
      </c>
    </row>
    <row r="79" spans="1:9" x14ac:dyDescent="0.2">
      <c r="A79">
        <v>6</v>
      </c>
      <c r="B79" s="18" t="str">
        <f>B35</f>
        <v/>
      </c>
      <c r="C79" s="19" t="str">
        <f t="shared" si="5"/>
        <v/>
      </c>
      <c r="E79">
        <f>CODE(F79)</f>
        <v>78</v>
      </c>
      <c r="F79" t="s">
        <v>29</v>
      </c>
      <c r="G79">
        <v>1</v>
      </c>
      <c r="H79">
        <v>1</v>
      </c>
      <c r="I79">
        <v>1</v>
      </c>
    </row>
    <row r="80" spans="1:9" x14ac:dyDescent="0.2">
      <c r="E80">
        <f>E79+256</f>
        <v>334</v>
      </c>
      <c r="F80">
        <v>1</v>
      </c>
      <c r="G80">
        <v>1</v>
      </c>
      <c r="I80">
        <v>1</v>
      </c>
    </row>
    <row r="81" spans="5:9" x14ac:dyDescent="0.2">
      <c r="E81">
        <f>E80+256</f>
        <v>590</v>
      </c>
      <c r="F81">
        <v>3</v>
      </c>
      <c r="G81">
        <v>1</v>
      </c>
      <c r="I81">
        <v>1</v>
      </c>
    </row>
    <row r="82" spans="5:9" x14ac:dyDescent="0.2">
      <c r="E82">
        <f>E81+256</f>
        <v>846</v>
      </c>
      <c r="F82">
        <v>0</v>
      </c>
      <c r="G82">
        <v>1</v>
      </c>
      <c r="I82">
        <v>1</v>
      </c>
    </row>
    <row r="83" spans="5:9" x14ac:dyDescent="0.2">
      <c r="E83">
        <f>E82+256</f>
        <v>1102</v>
      </c>
      <c r="G83">
        <v>1</v>
      </c>
      <c r="I83">
        <v>1</v>
      </c>
    </row>
    <row r="85" spans="5:9" x14ac:dyDescent="0.2">
      <c r="E85">
        <f>CODE(F85)</f>
        <v>79</v>
      </c>
      <c r="F85" t="s">
        <v>30</v>
      </c>
      <c r="G85">
        <v>1</v>
      </c>
      <c r="H85">
        <v>1</v>
      </c>
      <c r="I85">
        <v>1</v>
      </c>
    </row>
    <row r="86" spans="5:9" x14ac:dyDescent="0.2">
      <c r="E86">
        <f>E85+256</f>
        <v>335</v>
      </c>
      <c r="F86">
        <v>1</v>
      </c>
      <c r="G86">
        <v>1</v>
      </c>
      <c r="I86">
        <v>1</v>
      </c>
    </row>
    <row r="87" spans="5:9" x14ac:dyDescent="0.2">
      <c r="E87">
        <f>E86+256</f>
        <v>591</v>
      </c>
      <c r="F87">
        <v>3</v>
      </c>
      <c r="G87">
        <v>1</v>
      </c>
      <c r="I87">
        <v>1</v>
      </c>
    </row>
    <row r="88" spans="5:9" x14ac:dyDescent="0.2">
      <c r="E88">
        <f>E87+256</f>
        <v>847</v>
      </c>
      <c r="F88">
        <v>0</v>
      </c>
      <c r="G88">
        <v>1</v>
      </c>
      <c r="I88">
        <v>1</v>
      </c>
    </row>
    <row r="89" spans="5:9" x14ac:dyDescent="0.2">
      <c r="E89">
        <f>E88+256</f>
        <v>1103</v>
      </c>
      <c r="G89">
        <v>1</v>
      </c>
      <c r="H89">
        <v>1</v>
      </c>
      <c r="I89">
        <v>1</v>
      </c>
    </row>
    <row r="91" spans="5:9" x14ac:dyDescent="0.2">
      <c r="E91">
        <f>CODE(F91)</f>
        <v>80</v>
      </c>
      <c r="F91" t="s">
        <v>31</v>
      </c>
      <c r="G91">
        <v>1</v>
      </c>
      <c r="H91">
        <v>1</v>
      </c>
      <c r="I91">
        <v>1</v>
      </c>
    </row>
    <row r="92" spans="5:9" x14ac:dyDescent="0.2">
      <c r="E92">
        <f>E91+256</f>
        <v>336</v>
      </c>
      <c r="F92">
        <v>1</v>
      </c>
      <c r="G92">
        <v>1</v>
      </c>
      <c r="I92">
        <v>1</v>
      </c>
    </row>
    <row r="93" spans="5:9" x14ac:dyDescent="0.2">
      <c r="E93">
        <f>E92+256</f>
        <v>592</v>
      </c>
      <c r="F93">
        <v>3</v>
      </c>
      <c r="G93">
        <v>1</v>
      </c>
      <c r="H93">
        <v>1</v>
      </c>
      <c r="I93">
        <v>1</v>
      </c>
    </row>
    <row r="94" spans="5:9" x14ac:dyDescent="0.2">
      <c r="E94">
        <f>E93+256</f>
        <v>848</v>
      </c>
      <c r="F94">
        <v>0</v>
      </c>
      <c r="G94">
        <v>1</v>
      </c>
    </row>
    <row r="95" spans="5:9" x14ac:dyDescent="0.2">
      <c r="E95">
        <f>E94+256</f>
        <v>1104</v>
      </c>
      <c r="G95">
        <v>1</v>
      </c>
    </row>
    <row r="97" spans="5:9" x14ac:dyDescent="0.2">
      <c r="E97">
        <f>CODE(F97)</f>
        <v>81</v>
      </c>
      <c r="F97" t="s">
        <v>32</v>
      </c>
      <c r="G97">
        <v>1</v>
      </c>
      <c r="H97">
        <v>1</v>
      </c>
      <c r="I97">
        <v>1</v>
      </c>
    </row>
    <row r="98" spans="5:9" x14ac:dyDescent="0.2">
      <c r="E98">
        <f>E97+256</f>
        <v>337</v>
      </c>
      <c r="F98">
        <v>1</v>
      </c>
      <c r="G98">
        <v>1</v>
      </c>
      <c r="I98">
        <v>1</v>
      </c>
    </row>
    <row r="99" spans="5:9" x14ac:dyDescent="0.2">
      <c r="E99">
        <f>E98+256</f>
        <v>593</v>
      </c>
      <c r="F99">
        <v>3</v>
      </c>
      <c r="G99">
        <v>1</v>
      </c>
      <c r="H99">
        <v>1</v>
      </c>
      <c r="I99">
        <v>1</v>
      </c>
    </row>
    <row r="100" spans="5:9" x14ac:dyDescent="0.2">
      <c r="E100">
        <f>E99+256</f>
        <v>849</v>
      </c>
      <c r="F100">
        <v>0</v>
      </c>
      <c r="I100">
        <v>1</v>
      </c>
    </row>
    <row r="101" spans="5:9" x14ac:dyDescent="0.2">
      <c r="E101">
        <f>E100+256</f>
        <v>1105</v>
      </c>
      <c r="I101">
        <v>1</v>
      </c>
    </row>
    <row r="103" spans="5:9" x14ac:dyDescent="0.2">
      <c r="E103">
        <f>CODE(F103)</f>
        <v>82</v>
      </c>
      <c r="F103" t="s">
        <v>33</v>
      </c>
      <c r="G103">
        <v>1</v>
      </c>
      <c r="H103">
        <v>1</v>
      </c>
      <c r="I103">
        <v>1</v>
      </c>
    </row>
    <row r="104" spans="5:9" x14ac:dyDescent="0.2">
      <c r="E104">
        <f>E103+256</f>
        <v>338</v>
      </c>
      <c r="F104">
        <v>1</v>
      </c>
      <c r="G104">
        <v>1</v>
      </c>
      <c r="I104">
        <v>1</v>
      </c>
    </row>
    <row r="105" spans="5:9" x14ac:dyDescent="0.2">
      <c r="E105">
        <f>E104+256</f>
        <v>594</v>
      </c>
      <c r="F105">
        <v>3</v>
      </c>
      <c r="G105">
        <v>1</v>
      </c>
      <c r="H105">
        <v>1</v>
      </c>
    </row>
    <row r="106" spans="5:9" x14ac:dyDescent="0.2">
      <c r="E106">
        <f>E105+256</f>
        <v>850</v>
      </c>
      <c r="F106">
        <v>0</v>
      </c>
      <c r="G106">
        <v>1</v>
      </c>
      <c r="I106">
        <v>1</v>
      </c>
    </row>
    <row r="107" spans="5:9" x14ac:dyDescent="0.2">
      <c r="E107">
        <f>E106+256</f>
        <v>1106</v>
      </c>
      <c r="G107">
        <v>1</v>
      </c>
      <c r="I107">
        <v>1</v>
      </c>
    </row>
    <row r="109" spans="5:9" x14ac:dyDescent="0.2">
      <c r="E109">
        <f>CODE(F109)</f>
        <v>83</v>
      </c>
      <c r="F109" t="s">
        <v>34</v>
      </c>
      <c r="G109">
        <v>1</v>
      </c>
      <c r="H109">
        <v>1</v>
      </c>
      <c r="I109">
        <v>1</v>
      </c>
    </row>
    <row r="110" spans="5:9" x14ac:dyDescent="0.2">
      <c r="E110">
        <f>E109+256</f>
        <v>339</v>
      </c>
      <c r="F110">
        <v>1</v>
      </c>
      <c r="G110">
        <v>1</v>
      </c>
    </row>
    <row r="111" spans="5:9" x14ac:dyDescent="0.2">
      <c r="E111">
        <f>E110+256</f>
        <v>595</v>
      </c>
      <c r="F111">
        <v>3</v>
      </c>
      <c r="G111">
        <v>1</v>
      </c>
      <c r="H111">
        <v>1</v>
      </c>
      <c r="I111">
        <v>1</v>
      </c>
    </row>
    <row r="112" spans="5:9" x14ac:dyDescent="0.2">
      <c r="E112">
        <f>E111+256</f>
        <v>851</v>
      </c>
      <c r="F112">
        <v>0</v>
      </c>
      <c r="I112">
        <v>1</v>
      </c>
    </row>
    <row r="113" spans="5:9" x14ac:dyDescent="0.2">
      <c r="E113">
        <f>E112+256</f>
        <v>1107</v>
      </c>
      <c r="G113">
        <v>1</v>
      </c>
      <c r="H113">
        <v>1</v>
      </c>
      <c r="I113">
        <v>1</v>
      </c>
    </row>
    <row r="115" spans="5:9" x14ac:dyDescent="0.2">
      <c r="E115">
        <f>CODE(F115)</f>
        <v>84</v>
      </c>
      <c r="F115" t="s">
        <v>35</v>
      </c>
      <c r="G115">
        <v>1</v>
      </c>
      <c r="H115">
        <v>1</v>
      </c>
      <c r="I115">
        <v>1</v>
      </c>
    </row>
    <row r="116" spans="5:9" x14ac:dyDescent="0.2">
      <c r="E116">
        <f>E115+256</f>
        <v>340</v>
      </c>
      <c r="F116">
        <v>1</v>
      </c>
      <c r="H116">
        <v>1</v>
      </c>
    </row>
    <row r="117" spans="5:9" x14ac:dyDescent="0.2">
      <c r="E117">
        <f>E116+256</f>
        <v>596</v>
      </c>
      <c r="F117">
        <v>3</v>
      </c>
      <c r="H117">
        <v>1</v>
      </c>
    </row>
    <row r="118" spans="5:9" x14ac:dyDescent="0.2">
      <c r="E118">
        <f>E117+256</f>
        <v>852</v>
      </c>
      <c r="F118">
        <v>0</v>
      </c>
      <c r="H118">
        <v>1</v>
      </c>
    </row>
    <row r="119" spans="5:9" x14ac:dyDescent="0.2">
      <c r="E119">
        <f>E118+256</f>
        <v>1108</v>
      </c>
      <c r="H119">
        <v>1</v>
      </c>
    </row>
    <row r="121" spans="5:9" x14ac:dyDescent="0.2">
      <c r="E121">
        <f>CODE(F121)</f>
        <v>85</v>
      </c>
      <c r="F121" t="s">
        <v>36</v>
      </c>
      <c r="G121">
        <v>1</v>
      </c>
      <c r="I121">
        <v>1</v>
      </c>
    </row>
    <row r="122" spans="5:9" x14ac:dyDescent="0.2">
      <c r="E122">
        <f>E121+256</f>
        <v>341</v>
      </c>
      <c r="F122">
        <v>1</v>
      </c>
      <c r="G122">
        <v>1</v>
      </c>
      <c r="I122">
        <v>1</v>
      </c>
    </row>
    <row r="123" spans="5:9" x14ac:dyDescent="0.2">
      <c r="E123">
        <f>E122+256</f>
        <v>597</v>
      </c>
      <c r="F123">
        <v>3</v>
      </c>
      <c r="G123">
        <v>1</v>
      </c>
      <c r="I123">
        <v>1</v>
      </c>
    </row>
    <row r="124" spans="5:9" x14ac:dyDescent="0.2">
      <c r="E124">
        <f>E123+256</f>
        <v>853</v>
      </c>
      <c r="F124">
        <v>0</v>
      </c>
      <c r="G124">
        <v>1</v>
      </c>
      <c r="I124">
        <v>1</v>
      </c>
    </row>
    <row r="125" spans="5:9" x14ac:dyDescent="0.2">
      <c r="E125">
        <f>E124+256</f>
        <v>1109</v>
      </c>
      <c r="G125">
        <v>1</v>
      </c>
      <c r="H125">
        <v>1</v>
      </c>
      <c r="I125">
        <v>1</v>
      </c>
    </row>
    <row r="127" spans="5:9" x14ac:dyDescent="0.2">
      <c r="E127">
        <f>CODE(F127)</f>
        <v>86</v>
      </c>
      <c r="F127" t="s">
        <v>37</v>
      </c>
      <c r="G127">
        <v>1</v>
      </c>
      <c r="I127">
        <v>1</v>
      </c>
    </row>
    <row r="128" spans="5:9" x14ac:dyDescent="0.2">
      <c r="E128">
        <f>E127+256</f>
        <v>342</v>
      </c>
      <c r="F128">
        <v>1</v>
      </c>
      <c r="G128">
        <v>1</v>
      </c>
      <c r="I128">
        <v>1</v>
      </c>
    </row>
    <row r="129" spans="5:9" x14ac:dyDescent="0.2">
      <c r="E129">
        <f>E128+256</f>
        <v>598</v>
      </c>
      <c r="F129">
        <v>3</v>
      </c>
      <c r="G129">
        <v>1</v>
      </c>
      <c r="I129">
        <v>1</v>
      </c>
    </row>
    <row r="130" spans="5:9" x14ac:dyDescent="0.2">
      <c r="E130">
        <f>E129+256</f>
        <v>854</v>
      </c>
      <c r="F130">
        <v>0</v>
      </c>
      <c r="G130">
        <v>1</v>
      </c>
      <c r="I130">
        <v>1</v>
      </c>
    </row>
    <row r="131" spans="5:9" x14ac:dyDescent="0.2">
      <c r="E131">
        <f>E130+256</f>
        <v>1110</v>
      </c>
      <c r="H131">
        <v>1</v>
      </c>
    </row>
    <row r="133" spans="5:9" x14ac:dyDescent="0.2">
      <c r="E133">
        <f>CODE(F133)</f>
        <v>87</v>
      </c>
      <c r="F133" t="s">
        <v>38</v>
      </c>
      <c r="G133">
        <v>1</v>
      </c>
      <c r="I133">
        <v>1</v>
      </c>
    </row>
    <row r="134" spans="5:9" x14ac:dyDescent="0.2">
      <c r="E134">
        <f>E133+256</f>
        <v>343</v>
      </c>
      <c r="F134">
        <v>1</v>
      </c>
      <c r="G134">
        <v>1</v>
      </c>
      <c r="I134">
        <v>1</v>
      </c>
    </row>
    <row r="135" spans="5:9" x14ac:dyDescent="0.2">
      <c r="E135">
        <f>E134+256</f>
        <v>599</v>
      </c>
      <c r="F135">
        <v>3</v>
      </c>
      <c r="G135">
        <v>1</v>
      </c>
      <c r="H135">
        <v>1</v>
      </c>
      <c r="I135">
        <v>1</v>
      </c>
    </row>
    <row r="136" spans="5:9" x14ac:dyDescent="0.2">
      <c r="E136">
        <f>E135+256</f>
        <v>855</v>
      </c>
      <c r="F136">
        <v>0</v>
      </c>
      <c r="G136">
        <v>1</v>
      </c>
      <c r="H136">
        <v>1</v>
      </c>
      <c r="I136">
        <v>1</v>
      </c>
    </row>
    <row r="137" spans="5:9" x14ac:dyDescent="0.2">
      <c r="E137">
        <f>E136+256</f>
        <v>1111</v>
      </c>
      <c r="G137">
        <v>1</v>
      </c>
      <c r="I137">
        <v>1</v>
      </c>
    </row>
    <row r="139" spans="5:9" x14ac:dyDescent="0.2">
      <c r="E139">
        <f>CODE(F139)</f>
        <v>88</v>
      </c>
      <c r="F139" t="s">
        <v>39</v>
      </c>
      <c r="G139">
        <v>1</v>
      </c>
      <c r="I139">
        <v>1</v>
      </c>
    </row>
    <row r="140" spans="5:9" x14ac:dyDescent="0.2">
      <c r="E140">
        <f>E139+256</f>
        <v>344</v>
      </c>
      <c r="F140">
        <v>1</v>
      </c>
      <c r="G140">
        <v>1</v>
      </c>
      <c r="I140">
        <v>1</v>
      </c>
    </row>
    <row r="141" spans="5:9" x14ac:dyDescent="0.2">
      <c r="E141">
        <f>E140+256</f>
        <v>600</v>
      </c>
      <c r="F141">
        <v>3</v>
      </c>
      <c r="H141">
        <v>1</v>
      </c>
    </row>
    <row r="142" spans="5:9" x14ac:dyDescent="0.2">
      <c r="E142">
        <f>E141+256</f>
        <v>856</v>
      </c>
      <c r="F142">
        <v>0</v>
      </c>
      <c r="G142">
        <v>1</v>
      </c>
      <c r="I142">
        <v>1</v>
      </c>
    </row>
    <row r="143" spans="5:9" x14ac:dyDescent="0.2">
      <c r="E143">
        <f>E142+256</f>
        <v>1112</v>
      </c>
      <c r="G143">
        <v>1</v>
      </c>
      <c r="I143">
        <v>1</v>
      </c>
    </row>
    <row r="145" spans="5:9" x14ac:dyDescent="0.2">
      <c r="E145">
        <f>CODE(F145)</f>
        <v>89</v>
      </c>
      <c r="F145" t="s">
        <v>40</v>
      </c>
      <c r="G145">
        <v>1</v>
      </c>
      <c r="I145">
        <v>1</v>
      </c>
    </row>
    <row r="146" spans="5:9" x14ac:dyDescent="0.2">
      <c r="E146">
        <f>E145+256</f>
        <v>345</v>
      </c>
      <c r="F146">
        <v>1</v>
      </c>
      <c r="G146">
        <v>1</v>
      </c>
      <c r="I146">
        <v>1</v>
      </c>
    </row>
    <row r="147" spans="5:9" x14ac:dyDescent="0.2">
      <c r="E147">
        <f>E146+256</f>
        <v>601</v>
      </c>
      <c r="F147">
        <v>3</v>
      </c>
      <c r="G147">
        <v>1</v>
      </c>
      <c r="H147">
        <v>1</v>
      </c>
      <c r="I147">
        <v>1</v>
      </c>
    </row>
    <row r="148" spans="5:9" x14ac:dyDescent="0.2">
      <c r="E148">
        <f>E147+256</f>
        <v>857</v>
      </c>
      <c r="F148">
        <v>0</v>
      </c>
      <c r="H148">
        <v>1</v>
      </c>
    </row>
    <row r="149" spans="5:9" x14ac:dyDescent="0.2">
      <c r="E149">
        <f>E148+256</f>
        <v>1113</v>
      </c>
      <c r="H149">
        <v>1</v>
      </c>
    </row>
    <row r="151" spans="5:9" x14ac:dyDescent="0.2">
      <c r="E151">
        <f>CODE(F151)</f>
        <v>90</v>
      </c>
      <c r="F151" t="s">
        <v>41</v>
      </c>
      <c r="G151">
        <v>1</v>
      </c>
      <c r="H151">
        <v>1</v>
      </c>
      <c r="I151">
        <v>1</v>
      </c>
    </row>
    <row r="152" spans="5:9" x14ac:dyDescent="0.2">
      <c r="E152">
        <f>E151+256</f>
        <v>346</v>
      </c>
      <c r="F152">
        <v>1</v>
      </c>
      <c r="I152">
        <v>1</v>
      </c>
    </row>
    <row r="153" spans="5:9" x14ac:dyDescent="0.2">
      <c r="E153">
        <f>E152+256</f>
        <v>602</v>
      </c>
      <c r="F153">
        <v>3</v>
      </c>
      <c r="H153">
        <v>1</v>
      </c>
    </row>
    <row r="154" spans="5:9" x14ac:dyDescent="0.2">
      <c r="E154">
        <f>E153+256</f>
        <v>858</v>
      </c>
      <c r="F154">
        <v>0</v>
      </c>
      <c r="G154">
        <v>1</v>
      </c>
    </row>
    <row r="155" spans="5:9" x14ac:dyDescent="0.2">
      <c r="E155">
        <f>E154+256</f>
        <v>1114</v>
      </c>
      <c r="G155">
        <v>1</v>
      </c>
      <c r="H155">
        <v>1</v>
      </c>
      <c r="I155">
        <v>1</v>
      </c>
    </row>
    <row r="157" spans="5:9" x14ac:dyDescent="0.2">
      <c r="E157">
        <f>CODE(F157)</f>
        <v>97</v>
      </c>
      <c r="F157" t="s">
        <v>42</v>
      </c>
      <c r="G157">
        <v>1</v>
      </c>
      <c r="H157">
        <v>1</v>
      </c>
    </row>
    <row r="158" spans="5:9" x14ac:dyDescent="0.2">
      <c r="E158">
        <f>E157+256</f>
        <v>353</v>
      </c>
      <c r="F158">
        <v>1</v>
      </c>
      <c r="I158">
        <v>1</v>
      </c>
    </row>
    <row r="159" spans="5:9" x14ac:dyDescent="0.2">
      <c r="E159">
        <f>E158+256</f>
        <v>609</v>
      </c>
      <c r="F159">
        <v>3</v>
      </c>
      <c r="H159">
        <v>1</v>
      </c>
      <c r="I159">
        <v>1</v>
      </c>
    </row>
    <row r="160" spans="5:9" x14ac:dyDescent="0.2">
      <c r="E160">
        <f>E159+256</f>
        <v>865</v>
      </c>
      <c r="F160">
        <v>0</v>
      </c>
      <c r="G160">
        <v>1</v>
      </c>
      <c r="I160">
        <v>1</v>
      </c>
    </row>
    <row r="161" spans="5:9" x14ac:dyDescent="0.2">
      <c r="E161">
        <f>E160+256</f>
        <v>1121</v>
      </c>
      <c r="H161">
        <v>1</v>
      </c>
      <c r="I161">
        <v>1</v>
      </c>
    </row>
    <row r="163" spans="5:9" x14ac:dyDescent="0.2">
      <c r="E163">
        <f>CODE(F163)</f>
        <v>98</v>
      </c>
      <c r="F163" t="s">
        <v>43</v>
      </c>
      <c r="G163">
        <v>1</v>
      </c>
    </row>
    <row r="164" spans="5:9" x14ac:dyDescent="0.2">
      <c r="E164">
        <f>E163+256</f>
        <v>354</v>
      </c>
      <c r="F164">
        <v>1</v>
      </c>
      <c r="G164">
        <v>1</v>
      </c>
      <c r="H164">
        <v>1</v>
      </c>
    </row>
    <row r="165" spans="5:9" x14ac:dyDescent="0.2">
      <c r="E165">
        <f>E164+256</f>
        <v>610</v>
      </c>
      <c r="F165">
        <v>3</v>
      </c>
      <c r="G165">
        <v>1</v>
      </c>
      <c r="I165">
        <v>1</v>
      </c>
    </row>
    <row r="166" spans="5:9" x14ac:dyDescent="0.2">
      <c r="E166">
        <f>E165+256</f>
        <v>866</v>
      </c>
      <c r="F166">
        <v>0</v>
      </c>
      <c r="G166">
        <v>1</v>
      </c>
      <c r="I166">
        <v>1</v>
      </c>
    </row>
    <row r="167" spans="5:9" x14ac:dyDescent="0.2">
      <c r="E167">
        <f>E166+256</f>
        <v>1122</v>
      </c>
      <c r="G167">
        <v>1</v>
      </c>
      <c r="H167">
        <v>1</v>
      </c>
    </row>
    <row r="169" spans="5:9" x14ac:dyDescent="0.2">
      <c r="E169">
        <f>CODE(F169)</f>
        <v>99</v>
      </c>
      <c r="F169" t="s">
        <v>44</v>
      </c>
      <c r="H169">
        <v>1</v>
      </c>
      <c r="I169">
        <v>1</v>
      </c>
    </row>
    <row r="170" spans="5:9" x14ac:dyDescent="0.2">
      <c r="E170">
        <f>E169+256</f>
        <v>355</v>
      </c>
      <c r="F170">
        <v>1</v>
      </c>
      <c r="G170">
        <v>1</v>
      </c>
    </row>
    <row r="171" spans="5:9" x14ac:dyDescent="0.2">
      <c r="E171">
        <f>E170+256</f>
        <v>611</v>
      </c>
      <c r="F171">
        <v>3</v>
      </c>
      <c r="G171">
        <v>1</v>
      </c>
    </row>
    <row r="172" spans="5:9" x14ac:dyDescent="0.2">
      <c r="E172">
        <f>E171+256</f>
        <v>867</v>
      </c>
      <c r="F172">
        <v>0</v>
      </c>
      <c r="G172">
        <v>1</v>
      </c>
    </row>
    <row r="173" spans="5:9" x14ac:dyDescent="0.2">
      <c r="E173">
        <f>E172+256</f>
        <v>1123</v>
      </c>
      <c r="H173">
        <v>1</v>
      </c>
      <c r="I173">
        <v>1</v>
      </c>
    </row>
    <row r="175" spans="5:9" x14ac:dyDescent="0.2">
      <c r="E175">
        <f>CODE(F175)</f>
        <v>100</v>
      </c>
      <c r="F175" t="s">
        <v>45</v>
      </c>
      <c r="I175">
        <v>1</v>
      </c>
    </row>
    <row r="176" spans="5:9" x14ac:dyDescent="0.2">
      <c r="E176">
        <f>E175+256</f>
        <v>356</v>
      </c>
      <c r="F176">
        <v>1</v>
      </c>
      <c r="H176">
        <v>1</v>
      </c>
      <c r="I176">
        <v>1</v>
      </c>
    </row>
    <row r="177" spans="5:9" x14ac:dyDescent="0.2">
      <c r="E177">
        <f>E176+256</f>
        <v>612</v>
      </c>
      <c r="F177">
        <v>3</v>
      </c>
      <c r="G177">
        <v>1</v>
      </c>
      <c r="I177">
        <v>1</v>
      </c>
    </row>
    <row r="178" spans="5:9" x14ac:dyDescent="0.2">
      <c r="E178">
        <f>E177+256</f>
        <v>868</v>
      </c>
      <c r="F178">
        <v>0</v>
      </c>
      <c r="G178">
        <v>1</v>
      </c>
      <c r="I178">
        <v>1</v>
      </c>
    </row>
    <row r="179" spans="5:9" x14ac:dyDescent="0.2">
      <c r="E179">
        <f>E178+256</f>
        <v>1124</v>
      </c>
      <c r="H179">
        <v>1</v>
      </c>
      <c r="I179">
        <v>1</v>
      </c>
    </row>
    <row r="181" spans="5:9" x14ac:dyDescent="0.2">
      <c r="E181">
        <f>CODE(F181)</f>
        <v>101</v>
      </c>
      <c r="F181" t="s">
        <v>46</v>
      </c>
      <c r="H181">
        <v>1</v>
      </c>
    </row>
    <row r="182" spans="5:9" x14ac:dyDescent="0.2">
      <c r="E182">
        <f>E181+256</f>
        <v>357</v>
      </c>
      <c r="F182">
        <v>1</v>
      </c>
      <c r="G182">
        <v>1</v>
      </c>
      <c r="I182">
        <v>1</v>
      </c>
    </row>
    <row r="183" spans="5:9" x14ac:dyDescent="0.2">
      <c r="E183">
        <f>E182+256</f>
        <v>613</v>
      </c>
      <c r="F183">
        <v>3</v>
      </c>
      <c r="G183">
        <v>1</v>
      </c>
      <c r="H183">
        <v>1</v>
      </c>
      <c r="I183">
        <v>1</v>
      </c>
    </row>
    <row r="184" spans="5:9" x14ac:dyDescent="0.2">
      <c r="E184">
        <f>E183+256</f>
        <v>869</v>
      </c>
      <c r="F184">
        <v>0</v>
      </c>
      <c r="G184">
        <v>1</v>
      </c>
    </row>
    <row r="185" spans="5:9" x14ac:dyDescent="0.2">
      <c r="E185">
        <f>E184+256</f>
        <v>1125</v>
      </c>
      <c r="H185">
        <v>1</v>
      </c>
      <c r="I185">
        <v>1</v>
      </c>
    </row>
    <row r="187" spans="5:9" x14ac:dyDescent="0.2">
      <c r="E187">
        <f>CODE(F187)</f>
        <v>102</v>
      </c>
      <c r="F187" t="s">
        <v>47</v>
      </c>
      <c r="I187">
        <v>1</v>
      </c>
    </row>
    <row r="188" spans="5:9" x14ac:dyDescent="0.2">
      <c r="E188">
        <f>E187+256</f>
        <v>358</v>
      </c>
      <c r="F188">
        <v>1</v>
      </c>
      <c r="H188">
        <v>1</v>
      </c>
    </row>
    <row r="189" spans="5:9" x14ac:dyDescent="0.2">
      <c r="E189">
        <f>E188+256</f>
        <v>614</v>
      </c>
      <c r="F189">
        <v>3</v>
      </c>
      <c r="G189">
        <v>1</v>
      </c>
      <c r="H189">
        <v>1</v>
      </c>
      <c r="I189">
        <v>1</v>
      </c>
    </row>
    <row r="190" spans="5:9" x14ac:dyDescent="0.2">
      <c r="E190">
        <f>E189+256</f>
        <v>870</v>
      </c>
      <c r="F190">
        <v>0</v>
      </c>
      <c r="H190">
        <v>1</v>
      </c>
    </row>
    <row r="191" spans="5:9" x14ac:dyDescent="0.2">
      <c r="E191">
        <f>E190+256</f>
        <v>1126</v>
      </c>
      <c r="H191">
        <v>1</v>
      </c>
    </row>
    <row r="193" spans="5:9" x14ac:dyDescent="0.2">
      <c r="E193">
        <f>CODE(F193)</f>
        <v>103</v>
      </c>
      <c r="F193" t="s">
        <v>48</v>
      </c>
      <c r="H193">
        <v>1</v>
      </c>
    </row>
    <row r="194" spans="5:9" x14ac:dyDescent="0.2">
      <c r="E194">
        <f>E193+256</f>
        <v>359</v>
      </c>
      <c r="F194">
        <v>1</v>
      </c>
      <c r="G194">
        <v>1</v>
      </c>
      <c r="I194">
        <v>1</v>
      </c>
    </row>
    <row r="195" spans="5:9" x14ac:dyDescent="0.2">
      <c r="E195">
        <f>E194+256</f>
        <v>615</v>
      </c>
      <c r="F195">
        <v>3</v>
      </c>
      <c r="H195">
        <v>1</v>
      </c>
      <c r="I195">
        <v>1</v>
      </c>
    </row>
    <row r="196" spans="5:9" x14ac:dyDescent="0.2">
      <c r="E196">
        <f>E195+256</f>
        <v>871</v>
      </c>
      <c r="F196">
        <v>0</v>
      </c>
      <c r="I196">
        <v>1</v>
      </c>
    </row>
    <row r="197" spans="5:9" x14ac:dyDescent="0.2">
      <c r="E197">
        <f>E196+256</f>
        <v>1127</v>
      </c>
      <c r="G197">
        <v>1</v>
      </c>
      <c r="H197">
        <v>1</v>
      </c>
    </row>
    <row r="199" spans="5:9" x14ac:dyDescent="0.2">
      <c r="E199">
        <f>CODE(F199)</f>
        <v>104</v>
      </c>
      <c r="F199" t="s">
        <v>49</v>
      </c>
      <c r="G199">
        <v>1</v>
      </c>
    </row>
    <row r="200" spans="5:9" x14ac:dyDescent="0.2">
      <c r="E200">
        <f>E199+256</f>
        <v>360</v>
      </c>
      <c r="F200">
        <v>1</v>
      </c>
      <c r="G200">
        <v>1</v>
      </c>
      <c r="H200">
        <v>1</v>
      </c>
    </row>
    <row r="201" spans="5:9" x14ac:dyDescent="0.2">
      <c r="E201">
        <f>E200+256</f>
        <v>616</v>
      </c>
      <c r="F201">
        <v>3</v>
      </c>
      <c r="G201">
        <v>1</v>
      </c>
      <c r="I201">
        <v>1</v>
      </c>
    </row>
    <row r="202" spans="5:9" x14ac:dyDescent="0.2">
      <c r="E202">
        <f>E201+256</f>
        <v>872</v>
      </c>
      <c r="F202">
        <v>0</v>
      </c>
      <c r="G202">
        <v>1</v>
      </c>
      <c r="I202">
        <v>1</v>
      </c>
    </row>
    <row r="203" spans="5:9" x14ac:dyDescent="0.2">
      <c r="E203">
        <f>E202+256</f>
        <v>1128</v>
      </c>
      <c r="G203">
        <v>1</v>
      </c>
      <c r="I203">
        <v>1</v>
      </c>
    </row>
    <row r="205" spans="5:9" x14ac:dyDescent="0.2">
      <c r="E205">
        <f>CODE(F205)</f>
        <v>105</v>
      </c>
      <c r="F205" t="s">
        <v>50</v>
      </c>
      <c r="G205">
        <v>1</v>
      </c>
    </row>
    <row r="206" spans="5:9" x14ac:dyDescent="0.2">
      <c r="E206">
        <f>E205+256</f>
        <v>361</v>
      </c>
      <c r="F206">
        <v>1</v>
      </c>
      <c r="G206" t="s">
        <v>21</v>
      </c>
    </row>
    <row r="207" spans="5:9" x14ac:dyDescent="0.2">
      <c r="E207">
        <f>E206+256</f>
        <v>617</v>
      </c>
      <c r="F207">
        <v>1</v>
      </c>
      <c r="G207">
        <v>1</v>
      </c>
    </row>
    <row r="208" spans="5:9" x14ac:dyDescent="0.2">
      <c r="E208">
        <f>E207+256</f>
        <v>873</v>
      </c>
      <c r="F208">
        <v>0</v>
      </c>
      <c r="G208">
        <v>1</v>
      </c>
    </row>
    <row r="209" spans="5:9" x14ac:dyDescent="0.2">
      <c r="E209">
        <f>E208+256</f>
        <v>1129</v>
      </c>
      <c r="G209">
        <v>1</v>
      </c>
    </row>
    <row r="211" spans="5:9" x14ac:dyDescent="0.2">
      <c r="E211">
        <f>CODE(F211)</f>
        <v>106</v>
      </c>
      <c r="F211" t="s">
        <v>51</v>
      </c>
      <c r="I211">
        <v>1</v>
      </c>
    </row>
    <row r="212" spans="5:9" x14ac:dyDescent="0.2">
      <c r="E212">
        <f>E211+256</f>
        <v>362</v>
      </c>
      <c r="F212">
        <v>1</v>
      </c>
      <c r="G212" t="s">
        <v>21</v>
      </c>
    </row>
    <row r="213" spans="5:9" x14ac:dyDescent="0.2">
      <c r="E213">
        <f>E212+256</f>
        <v>618</v>
      </c>
      <c r="F213">
        <v>3</v>
      </c>
      <c r="G213" t="s">
        <v>21</v>
      </c>
      <c r="H213" t="s">
        <v>21</v>
      </c>
      <c r="I213">
        <v>1</v>
      </c>
    </row>
    <row r="214" spans="5:9" x14ac:dyDescent="0.2">
      <c r="E214">
        <f>E213+256</f>
        <v>874</v>
      </c>
      <c r="F214">
        <v>0</v>
      </c>
      <c r="G214">
        <v>1</v>
      </c>
      <c r="I214">
        <v>1</v>
      </c>
    </row>
    <row r="215" spans="5:9" x14ac:dyDescent="0.2">
      <c r="E215">
        <f>E214+256</f>
        <v>1130</v>
      </c>
      <c r="G215">
        <v>1</v>
      </c>
      <c r="H215">
        <v>1</v>
      </c>
    </row>
    <row r="217" spans="5:9" x14ac:dyDescent="0.2">
      <c r="E217">
        <f>CODE(F217)</f>
        <v>107</v>
      </c>
      <c r="F217" t="s">
        <v>52</v>
      </c>
      <c r="G217">
        <v>1</v>
      </c>
    </row>
    <row r="218" spans="5:9" x14ac:dyDescent="0.2">
      <c r="E218">
        <f>E217+256</f>
        <v>363</v>
      </c>
      <c r="F218">
        <v>1</v>
      </c>
      <c r="G218">
        <v>1</v>
      </c>
      <c r="I218">
        <v>1</v>
      </c>
    </row>
    <row r="219" spans="5:9" x14ac:dyDescent="0.2">
      <c r="E219">
        <f>E218+256</f>
        <v>619</v>
      </c>
      <c r="F219">
        <v>3</v>
      </c>
      <c r="G219">
        <v>1</v>
      </c>
      <c r="H219">
        <v>1</v>
      </c>
    </row>
    <row r="220" spans="5:9" x14ac:dyDescent="0.2">
      <c r="E220">
        <f>E219+256</f>
        <v>875</v>
      </c>
      <c r="F220">
        <v>0</v>
      </c>
      <c r="G220">
        <v>1</v>
      </c>
      <c r="I220">
        <v>1</v>
      </c>
    </row>
    <row r="221" spans="5:9" x14ac:dyDescent="0.2">
      <c r="E221">
        <f>E220+256</f>
        <v>1131</v>
      </c>
      <c r="G221">
        <v>1</v>
      </c>
      <c r="I221">
        <v>1</v>
      </c>
    </row>
    <row r="223" spans="5:9" x14ac:dyDescent="0.2">
      <c r="E223">
        <f>CODE(F223)</f>
        <v>108</v>
      </c>
      <c r="F223" t="s">
        <v>53</v>
      </c>
      <c r="G223">
        <v>1</v>
      </c>
    </row>
    <row r="224" spans="5:9" x14ac:dyDescent="0.2">
      <c r="E224">
        <f>E223+256</f>
        <v>364</v>
      </c>
      <c r="F224">
        <v>1</v>
      </c>
      <c r="G224">
        <v>1</v>
      </c>
    </row>
    <row r="225" spans="5:9" x14ac:dyDescent="0.2">
      <c r="E225">
        <f>E224+256</f>
        <v>620</v>
      </c>
      <c r="F225">
        <v>3</v>
      </c>
      <c r="G225">
        <v>1</v>
      </c>
    </row>
    <row r="226" spans="5:9" x14ac:dyDescent="0.2">
      <c r="E226">
        <f>E225+256</f>
        <v>876</v>
      </c>
      <c r="F226">
        <v>0</v>
      </c>
      <c r="G226">
        <v>1</v>
      </c>
    </row>
    <row r="227" spans="5:9" x14ac:dyDescent="0.2">
      <c r="E227">
        <f>E226+256</f>
        <v>1132</v>
      </c>
      <c r="H227">
        <v>1</v>
      </c>
      <c r="I227">
        <v>1</v>
      </c>
    </row>
    <row r="229" spans="5:9" x14ac:dyDescent="0.2">
      <c r="E229">
        <f>CODE(F229)</f>
        <v>109</v>
      </c>
      <c r="F229" t="s">
        <v>54</v>
      </c>
      <c r="G229">
        <v>1</v>
      </c>
      <c r="H229">
        <v>1</v>
      </c>
    </row>
    <row r="230" spans="5:9" x14ac:dyDescent="0.2">
      <c r="E230">
        <f>E229+256</f>
        <v>365</v>
      </c>
      <c r="F230">
        <v>1</v>
      </c>
      <c r="G230">
        <v>1</v>
      </c>
      <c r="H230">
        <v>1</v>
      </c>
      <c r="I230">
        <v>1</v>
      </c>
    </row>
    <row r="231" spans="5:9" x14ac:dyDescent="0.2">
      <c r="E231">
        <f>E230+256</f>
        <v>621</v>
      </c>
      <c r="F231">
        <v>3</v>
      </c>
      <c r="G231">
        <v>1</v>
      </c>
      <c r="H231">
        <v>1</v>
      </c>
      <c r="I231">
        <v>1</v>
      </c>
    </row>
    <row r="232" spans="5:9" x14ac:dyDescent="0.2">
      <c r="E232">
        <f>E231+256</f>
        <v>877</v>
      </c>
      <c r="F232">
        <v>0</v>
      </c>
      <c r="G232">
        <v>1</v>
      </c>
      <c r="I232">
        <v>1</v>
      </c>
    </row>
    <row r="233" spans="5:9" x14ac:dyDescent="0.2">
      <c r="E233">
        <f>E232+256</f>
        <v>1133</v>
      </c>
      <c r="G233">
        <v>1</v>
      </c>
      <c r="I233">
        <v>1</v>
      </c>
    </row>
    <row r="235" spans="5:9" x14ac:dyDescent="0.2">
      <c r="E235">
        <f>CODE(F235)</f>
        <v>110</v>
      </c>
      <c r="F235" t="s">
        <v>55</v>
      </c>
      <c r="G235">
        <v>1</v>
      </c>
      <c r="H235">
        <v>1</v>
      </c>
    </row>
    <row r="236" spans="5:9" x14ac:dyDescent="0.2">
      <c r="E236">
        <f>E235+256</f>
        <v>366</v>
      </c>
      <c r="F236">
        <v>1</v>
      </c>
      <c r="G236">
        <v>1</v>
      </c>
      <c r="I236">
        <v>1</v>
      </c>
    </row>
    <row r="237" spans="5:9" x14ac:dyDescent="0.2">
      <c r="E237">
        <f>E236+256</f>
        <v>622</v>
      </c>
      <c r="F237">
        <v>3</v>
      </c>
      <c r="G237">
        <v>1</v>
      </c>
      <c r="I237">
        <v>1</v>
      </c>
    </row>
    <row r="238" spans="5:9" x14ac:dyDescent="0.2">
      <c r="E238">
        <f>E237+256</f>
        <v>878</v>
      </c>
      <c r="F238">
        <v>0</v>
      </c>
      <c r="G238">
        <v>1</v>
      </c>
      <c r="I238">
        <v>1</v>
      </c>
    </row>
    <row r="239" spans="5:9" x14ac:dyDescent="0.2">
      <c r="E239">
        <f>E238+256</f>
        <v>1134</v>
      </c>
      <c r="G239">
        <v>1</v>
      </c>
      <c r="I239">
        <v>1</v>
      </c>
    </row>
    <row r="241" spans="5:9" x14ac:dyDescent="0.2">
      <c r="E241">
        <f>CODE(F241)</f>
        <v>111</v>
      </c>
      <c r="F241" t="s">
        <v>56</v>
      </c>
      <c r="H241">
        <v>1</v>
      </c>
    </row>
    <row r="242" spans="5:9" x14ac:dyDescent="0.2">
      <c r="E242">
        <f>E241+256</f>
        <v>367</v>
      </c>
      <c r="F242">
        <v>1</v>
      </c>
      <c r="G242">
        <v>1</v>
      </c>
      <c r="I242">
        <v>1</v>
      </c>
    </row>
    <row r="243" spans="5:9" x14ac:dyDescent="0.2">
      <c r="E243">
        <f>E242+256</f>
        <v>623</v>
      </c>
      <c r="F243">
        <v>3</v>
      </c>
      <c r="G243">
        <v>1</v>
      </c>
      <c r="I243">
        <v>1</v>
      </c>
    </row>
    <row r="244" spans="5:9" x14ac:dyDescent="0.2">
      <c r="E244">
        <f>E243+256</f>
        <v>879</v>
      </c>
      <c r="F244">
        <v>0</v>
      </c>
      <c r="G244">
        <v>1</v>
      </c>
      <c r="I244">
        <v>1</v>
      </c>
    </row>
    <row r="245" spans="5:9" x14ac:dyDescent="0.2">
      <c r="E245">
        <f>E244+256</f>
        <v>1135</v>
      </c>
      <c r="H245">
        <v>1</v>
      </c>
    </row>
    <row r="247" spans="5:9" x14ac:dyDescent="0.2">
      <c r="E247">
        <f>CODE(F247)</f>
        <v>112</v>
      </c>
      <c r="F247" t="s">
        <v>57</v>
      </c>
      <c r="G247">
        <v>1</v>
      </c>
      <c r="H247">
        <v>1</v>
      </c>
    </row>
    <row r="248" spans="5:9" x14ac:dyDescent="0.2">
      <c r="E248">
        <f>E247+256</f>
        <v>368</v>
      </c>
      <c r="F248">
        <v>1</v>
      </c>
      <c r="G248">
        <v>1</v>
      </c>
      <c r="I248">
        <v>1</v>
      </c>
    </row>
    <row r="249" spans="5:9" x14ac:dyDescent="0.2">
      <c r="E249">
        <f>E248+256</f>
        <v>624</v>
      </c>
      <c r="F249">
        <v>3</v>
      </c>
      <c r="G249">
        <v>1</v>
      </c>
      <c r="H249">
        <v>1</v>
      </c>
    </row>
    <row r="250" spans="5:9" x14ac:dyDescent="0.2">
      <c r="E250">
        <f>E249+256</f>
        <v>880</v>
      </c>
      <c r="F250">
        <v>0</v>
      </c>
      <c r="G250">
        <v>1</v>
      </c>
    </row>
    <row r="251" spans="5:9" x14ac:dyDescent="0.2">
      <c r="E251">
        <f>E250+256</f>
        <v>1136</v>
      </c>
      <c r="G251">
        <v>1</v>
      </c>
    </row>
    <row r="253" spans="5:9" x14ac:dyDescent="0.2">
      <c r="E253">
        <f>CODE(F253)</f>
        <v>113</v>
      </c>
      <c r="F253" t="s">
        <v>58</v>
      </c>
      <c r="H253">
        <v>1</v>
      </c>
      <c r="I253">
        <v>1</v>
      </c>
    </row>
    <row r="254" spans="5:9" x14ac:dyDescent="0.2">
      <c r="E254">
        <f>E253+256</f>
        <v>369</v>
      </c>
      <c r="F254">
        <v>1</v>
      </c>
      <c r="G254">
        <v>1</v>
      </c>
      <c r="I254">
        <v>1</v>
      </c>
    </row>
    <row r="255" spans="5:9" x14ac:dyDescent="0.2">
      <c r="E255">
        <f>E254+256</f>
        <v>625</v>
      </c>
      <c r="F255">
        <v>3</v>
      </c>
      <c r="H255">
        <v>1</v>
      </c>
      <c r="I255">
        <v>1</v>
      </c>
    </row>
    <row r="256" spans="5:9" x14ac:dyDescent="0.2">
      <c r="E256">
        <f>E255+256</f>
        <v>881</v>
      </c>
      <c r="F256">
        <v>0</v>
      </c>
      <c r="I256">
        <v>1</v>
      </c>
    </row>
    <row r="257" spans="5:9" x14ac:dyDescent="0.2">
      <c r="E257">
        <f>E256+256</f>
        <v>1137</v>
      </c>
      <c r="I257">
        <v>1</v>
      </c>
    </row>
    <row r="259" spans="5:9" x14ac:dyDescent="0.2">
      <c r="E259">
        <f>CODE(F259)</f>
        <v>114</v>
      </c>
      <c r="F259" t="s">
        <v>59</v>
      </c>
      <c r="H259">
        <v>1</v>
      </c>
      <c r="I259">
        <v>1</v>
      </c>
    </row>
    <row r="260" spans="5:9" x14ac:dyDescent="0.2">
      <c r="E260">
        <f>E259+256</f>
        <v>370</v>
      </c>
      <c r="F260">
        <v>1</v>
      </c>
      <c r="G260">
        <v>1</v>
      </c>
    </row>
    <row r="261" spans="5:9" x14ac:dyDescent="0.2">
      <c r="E261">
        <f>E260+256</f>
        <v>626</v>
      </c>
      <c r="F261">
        <v>3</v>
      </c>
      <c r="G261">
        <v>1</v>
      </c>
    </row>
    <row r="262" spans="5:9" x14ac:dyDescent="0.2">
      <c r="E262">
        <f>E261+256</f>
        <v>882</v>
      </c>
      <c r="F262">
        <v>0</v>
      </c>
      <c r="G262">
        <v>1</v>
      </c>
    </row>
    <row r="263" spans="5:9" x14ac:dyDescent="0.2">
      <c r="E263">
        <f>E262+256</f>
        <v>1138</v>
      </c>
      <c r="G263">
        <v>1</v>
      </c>
    </row>
    <row r="265" spans="5:9" x14ac:dyDescent="0.2">
      <c r="E265">
        <f>CODE(F265)</f>
        <v>115</v>
      </c>
      <c r="F265" t="s">
        <v>60</v>
      </c>
      <c r="H265">
        <v>1</v>
      </c>
      <c r="I265">
        <v>1</v>
      </c>
    </row>
    <row r="266" spans="5:9" x14ac:dyDescent="0.2">
      <c r="E266">
        <f>E265+256</f>
        <v>371</v>
      </c>
      <c r="F266">
        <v>1</v>
      </c>
      <c r="G266">
        <v>1</v>
      </c>
    </row>
    <row r="267" spans="5:9" x14ac:dyDescent="0.2">
      <c r="E267">
        <f>E266+256</f>
        <v>627</v>
      </c>
      <c r="F267">
        <v>3</v>
      </c>
      <c r="H267">
        <v>1</v>
      </c>
    </row>
    <row r="268" spans="5:9" x14ac:dyDescent="0.2">
      <c r="E268">
        <f>E267+256</f>
        <v>883</v>
      </c>
      <c r="F268">
        <v>0</v>
      </c>
      <c r="I268">
        <v>1</v>
      </c>
    </row>
    <row r="269" spans="5:9" x14ac:dyDescent="0.2">
      <c r="E269">
        <f>E268+256</f>
        <v>1139</v>
      </c>
      <c r="G269">
        <v>1</v>
      </c>
      <c r="H269">
        <v>1</v>
      </c>
    </row>
    <row r="271" spans="5:9" x14ac:dyDescent="0.2">
      <c r="E271">
        <f>CODE(F271)</f>
        <v>116</v>
      </c>
      <c r="F271" t="s">
        <v>61</v>
      </c>
      <c r="H271">
        <v>1</v>
      </c>
    </row>
    <row r="272" spans="5:9" x14ac:dyDescent="0.2">
      <c r="E272">
        <f>E271+256</f>
        <v>372</v>
      </c>
      <c r="F272">
        <v>1</v>
      </c>
      <c r="G272">
        <v>1</v>
      </c>
      <c r="H272">
        <v>1</v>
      </c>
      <c r="I272">
        <v>1</v>
      </c>
    </row>
    <row r="273" spans="5:9" x14ac:dyDescent="0.2">
      <c r="E273">
        <f>E272+256</f>
        <v>628</v>
      </c>
      <c r="F273">
        <v>3</v>
      </c>
      <c r="H273">
        <v>1</v>
      </c>
    </row>
    <row r="274" spans="5:9" x14ac:dyDescent="0.2">
      <c r="E274">
        <f>E273+256</f>
        <v>884</v>
      </c>
      <c r="F274">
        <v>0</v>
      </c>
      <c r="H274">
        <v>1</v>
      </c>
    </row>
    <row r="275" spans="5:9" x14ac:dyDescent="0.2">
      <c r="E275">
        <f>E274+256</f>
        <v>1140</v>
      </c>
      <c r="I275">
        <v>1</v>
      </c>
    </row>
    <row r="277" spans="5:9" x14ac:dyDescent="0.2">
      <c r="E277">
        <f>CODE(F277)</f>
        <v>117</v>
      </c>
      <c r="F277" t="s">
        <v>62</v>
      </c>
      <c r="G277">
        <v>1</v>
      </c>
      <c r="I277">
        <v>1</v>
      </c>
    </row>
    <row r="278" spans="5:9" x14ac:dyDescent="0.2">
      <c r="E278">
        <f>E277+256</f>
        <v>373</v>
      </c>
      <c r="F278">
        <v>1</v>
      </c>
      <c r="G278">
        <v>1</v>
      </c>
      <c r="I278">
        <v>1</v>
      </c>
    </row>
    <row r="279" spans="5:9" x14ac:dyDescent="0.2">
      <c r="E279">
        <f>E278+256</f>
        <v>629</v>
      </c>
      <c r="F279">
        <v>3</v>
      </c>
      <c r="G279">
        <v>1</v>
      </c>
      <c r="I279">
        <v>1</v>
      </c>
    </row>
    <row r="280" spans="5:9" x14ac:dyDescent="0.2">
      <c r="E280">
        <f>E279+256</f>
        <v>885</v>
      </c>
      <c r="F280">
        <v>0</v>
      </c>
      <c r="G280">
        <v>1</v>
      </c>
      <c r="I280">
        <v>1</v>
      </c>
    </row>
    <row r="281" spans="5:9" x14ac:dyDescent="0.2">
      <c r="E281">
        <f>E280+256</f>
        <v>1141</v>
      </c>
      <c r="H281">
        <v>1</v>
      </c>
      <c r="I281">
        <v>1</v>
      </c>
    </row>
    <row r="283" spans="5:9" x14ac:dyDescent="0.2">
      <c r="E283">
        <f>CODE(F283)</f>
        <v>118</v>
      </c>
      <c r="F283" t="s">
        <v>63</v>
      </c>
      <c r="G283">
        <v>1</v>
      </c>
      <c r="I283">
        <v>1</v>
      </c>
    </row>
    <row r="284" spans="5:9" x14ac:dyDescent="0.2">
      <c r="E284">
        <f>E283+256</f>
        <v>374</v>
      </c>
      <c r="F284">
        <v>1</v>
      </c>
      <c r="G284">
        <v>1</v>
      </c>
      <c r="I284">
        <v>1</v>
      </c>
    </row>
    <row r="285" spans="5:9" x14ac:dyDescent="0.2">
      <c r="E285">
        <f>E284+256</f>
        <v>630</v>
      </c>
      <c r="F285">
        <v>3</v>
      </c>
      <c r="G285">
        <v>1</v>
      </c>
      <c r="I285">
        <v>1</v>
      </c>
    </row>
    <row r="286" spans="5:9" x14ac:dyDescent="0.2">
      <c r="E286">
        <f>E285+256</f>
        <v>886</v>
      </c>
      <c r="F286">
        <v>0</v>
      </c>
      <c r="G286">
        <v>1</v>
      </c>
      <c r="I286">
        <v>1</v>
      </c>
    </row>
    <row r="287" spans="5:9" x14ac:dyDescent="0.2">
      <c r="E287">
        <f>E286+256</f>
        <v>1142</v>
      </c>
      <c r="H287">
        <v>1</v>
      </c>
    </row>
    <row r="289" spans="5:9" x14ac:dyDescent="0.2">
      <c r="E289">
        <f>CODE(F289)</f>
        <v>119</v>
      </c>
      <c r="F289" t="s">
        <v>64</v>
      </c>
      <c r="G289">
        <v>1</v>
      </c>
      <c r="I289">
        <v>1</v>
      </c>
    </row>
    <row r="290" spans="5:9" x14ac:dyDescent="0.2">
      <c r="E290">
        <f>E289+256</f>
        <v>375</v>
      </c>
      <c r="F290">
        <v>1</v>
      </c>
      <c r="G290">
        <v>1</v>
      </c>
      <c r="I290">
        <v>1</v>
      </c>
    </row>
    <row r="291" spans="5:9" x14ac:dyDescent="0.2">
      <c r="E291">
        <f>E290+256</f>
        <v>631</v>
      </c>
      <c r="F291">
        <v>3</v>
      </c>
      <c r="G291">
        <v>1</v>
      </c>
      <c r="H291">
        <v>1</v>
      </c>
      <c r="I291">
        <v>1</v>
      </c>
    </row>
    <row r="292" spans="5:9" x14ac:dyDescent="0.2">
      <c r="E292">
        <f>E291+256</f>
        <v>887</v>
      </c>
      <c r="F292">
        <v>0</v>
      </c>
      <c r="G292">
        <v>1</v>
      </c>
      <c r="H292">
        <v>1</v>
      </c>
      <c r="I292">
        <v>1</v>
      </c>
    </row>
    <row r="293" spans="5:9" x14ac:dyDescent="0.2">
      <c r="E293">
        <f>E292+256</f>
        <v>1143</v>
      </c>
      <c r="H293">
        <v>1</v>
      </c>
      <c r="I293">
        <v>1</v>
      </c>
    </row>
    <row r="295" spans="5:9" x14ac:dyDescent="0.2">
      <c r="E295">
        <f>CODE(F295)</f>
        <v>120</v>
      </c>
      <c r="F295" t="s">
        <v>65</v>
      </c>
      <c r="G295">
        <v>1</v>
      </c>
      <c r="I295">
        <v>1</v>
      </c>
    </row>
    <row r="296" spans="5:9" x14ac:dyDescent="0.2">
      <c r="E296">
        <f>E295+256</f>
        <v>376</v>
      </c>
      <c r="F296">
        <v>1</v>
      </c>
      <c r="G296">
        <v>1</v>
      </c>
      <c r="I296">
        <v>1</v>
      </c>
    </row>
    <row r="297" spans="5:9" x14ac:dyDescent="0.2">
      <c r="E297">
        <f>E296+256</f>
        <v>632</v>
      </c>
      <c r="F297">
        <v>3</v>
      </c>
      <c r="H297">
        <v>1</v>
      </c>
    </row>
    <row r="298" spans="5:9" x14ac:dyDescent="0.2">
      <c r="E298">
        <f>E297+256</f>
        <v>888</v>
      </c>
      <c r="F298">
        <v>0</v>
      </c>
      <c r="G298">
        <v>1</v>
      </c>
      <c r="I298">
        <v>1</v>
      </c>
    </row>
    <row r="299" spans="5:9" x14ac:dyDescent="0.2">
      <c r="E299">
        <f>E298+256</f>
        <v>1144</v>
      </c>
      <c r="G299">
        <v>1</v>
      </c>
      <c r="I299">
        <v>1</v>
      </c>
    </row>
    <row r="301" spans="5:9" x14ac:dyDescent="0.2">
      <c r="E301">
        <f>CODE(F301)</f>
        <v>121</v>
      </c>
      <c r="F301" t="s">
        <v>66</v>
      </c>
      <c r="G301">
        <v>1</v>
      </c>
      <c r="I301">
        <v>1</v>
      </c>
    </row>
    <row r="302" spans="5:9" x14ac:dyDescent="0.2">
      <c r="E302">
        <f>E301+256</f>
        <v>377</v>
      </c>
      <c r="F302">
        <v>1</v>
      </c>
      <c r="G302">
        <v>1</v>
      </c>
      <c r="I302">
        <v>1</v>
      </c>
    </row>
    <row r="303" spans="5:9" x14ac:dyDescent="0.2">
      <c r="E303">
        <f>E302+256</f>
        <v>633</v>
      </c>
      <c r="F303">
        <v>3</v>
      </c>
      <c r="H303">
        <v>1</v>
      </c>
      <c r="I303">
        <v>1</v>
      </c>
    </row>
    <row r="304" spans="5:9" x14ac:dyDescent="0.2">
      <c r="E304">
        <f>E303+256</f>
        <v>889</v>
      </c>
      <c r="F304">
        <v>0</v>
      </c>
      <c r="I304">
        <v>1</v>
      </c>
    </row>
    <row r="305" spans="5:9" x14ac:dyDescent="0.2">
      <c r="E305">
        <f>E304+256</f>
        <v>1145</v>
      </c>
      <c r="G305">
        <v>1</v>
      </c>
      <c r="H305">
        <v>1</v>
      </c>
    </row>
    <row r="307" spans="5:9" x14ac:dyDescent="0.2">
      <c r="E307">
        <f>CODE(F307)</f>
        <v>122</v>
      </c>
      <c r="F307" t="s">
        <v>67</v>
      </c>
      <c r="G307">
        <v>1</v>
      </c>
      <c r="H307">
        <v>1</v>
      </c>
      <c r="I307">
        <v>1</v>
      </c>
    </row>
    <row r="308" spans="5:9" x14ac:dyDescent="0.2">
      <c r="E308">
        <f>E307+256</f>
        <v>378</v>
      </c>
      <c r="F308">
        <v>1</v>
      </c>
      <c r="I308">
        <v>1</v>
      </c>
    </row>
    <row r="309" spans="5:9" x14ac:dyDescent="0.2">
      <c r="E309">
        <f>E308+256</f>
        <v>634</v>
      </c>
      <c r="F309">
        <v>3</v>
      </c>
      <c r="H309">
        <v>1</v>
      </c>
    </row>
    <row r="310" spans="5:9" x14ac:dyDescent="0.2">
      <c r="E310">
        <f>E309+256</f>
        <v>890</v>
      </c>
      <c r="F310">
        <v>0</v>
      </c>
      <c r="G310">
        <v>1</v>
      </c>
    </row>
    <row r="311" spans="5:9" x14ac:dyDescent="0.2">
      <c r="E311">
        <f>E310+256</f>
        <v>1146</v>
      </c>
      <c r="G311">
        <v>1</v>
      </c>
      <c r="H311">
        <v>1</v>
      </c>
      <c r="I311">
        <v>1</v>
      </c>
    </row>
    <row r="313" spans="5:9" x14ac:dyDescent="0.2">
      <c r="E313">
        <f>CODE(F313)</f>
        <v>32</v>
      </c>
      <c r="F313" t="s">
        <v>21</v>
      </c>
    </row>
    <row r="314" spans="5:9" x14ac:dyDescent="0.2">
      <c r="E314">
        <f>E313+256</f>
        <v>288</v>
      </c>
      <c r="F314">
        <v>1</v>
      </c>
    </row>
    <row r="315" spans="5:9" x14ac:dyDescent="0.2">
      <c r="E315">
        <f>E314+256</f>
        <v>544</v>
      </c>
      <c r="F315">
        <v>0</v>
      </c>
    </row>
    <row r="316" spans="5:9" x14ac:dyDescent="0.2">
      <c r="E316">
        <f>E315+256</f>
        <v>800</v>
      </c>
      <c r="F316">
        <v>0</v>
      </c>
    </row>
    <row r="317" spans="5:9" x14ac:dyDescent="0.2">
      <c r="E317">
        <f>E316+256</f>
        <v>1056</v>
      </c>
    </row>
    <row r="319" spans="5:9" x14ac:dyDescent="0.2">
      <c r="E319">
        <f>CODE(F319)</f>
        <v>49</v>
      </c>
      <c r="F319">
        <v>1</v>
      </c>
      <c r="G319">
        <v>1</v>
      </c>
      <c r="H319">
        <v>1</v>
      </c>
    </row>
    <row r="320" spans="5:9" x14ac:dyDescent="0.2">
      <c r="E320">
        <f>E319+256</f>
        <v>305</v>
      </c>
      <c r="F320">
        <v>1</v>
      </c>
      <c r="H320">
        <v>1</v>
      </c>
    </row>
    <row r="321" spans="5:9" x14ac:dyDescent="0.2">
      <c r="E321">
        <f>E320+256</f>
        <v>561</v>
      </c>
      <c r="F321">
        <v>2</v>
      </c>
      <c r="H321">
        <v>1</v>
      </c>
    </row>
    <row r="322" spans="5:9" x14ac:dyDescent="0.2">
      <c r="E322">
        <f>E321+256</f>
        <v>817</v>
      </c>
      <c r="F322">
        <v>0</v>
      </c>
      <c r="H322">
        <v>1</v>
      </c>
    </row>
    <row r="323" spans="5:9" x14ac:dyDescent="0.2">
      <c r="E323">
        <f>E322+256</f>
        <v>1073</v>
      </c>
      <c r="H323">
        <v>1</v>
      </c>
    </row>
    <row r="325" spans="5:9" x14ac:dyDescent="0.2">
      <c r="E325">
        <f>CODE(F325)</f>
        <v>50</v>
      </c>
      <c r="F325">
        <v>2</v>
      </c>
      <c r="G325">
        <v>1</v>
      </c>
      <c r="H325">
        <v>1</v>
      </c>
      <c r="I325">
        <v>1</v>
      </c>
    </row>
    <row r="326" spans="5:9" x14ac:dyDescent="0.2">
      <c r="E326">
        <f>E325+256</f>
        <v>306</v>
      </c>
      <c r="F326">
        <v>1</v>
      </c>
      <c r="I326">
        <v>1</v>
      </c>
    </row>
    <row r="327" spans="5:9" x14ac:dyDescent="0.2">
      <c r="E327">
        <f>E326+256</f>
        <v>562</v>
      </c>
      <c r="F327">
        <v>3</v>
      </c>
      <c r="G327">
        <v>1</v>
      </c>
      <c r="H327">
        <v>1</v>
      </c>
      <c r="I327">
        <v>1</v>
      </c>
    </row>
    <row r="328" spans="5:9" x14ac:dyDescent="0.2">
      <c r="E328">
        <f>E327+256</f>
        <v>818</v>
      </c>
      <c r="F328">
        <v>0</v>
      </c>
      <c r="G328">
        <v>1</v>
      </c>
    </row>
    <row r="329" spans="5:9" x14ac:dyDescent="0.2">
      <c r="E329">
        <f>E328+256</f>
        <v>1074</v>
      </c>
      <c r="G329">
        <v>1</v>
      </c>
      <c r="H329">
        <v>1</v>
      </c>
      <c r="I329">
        <v>1</v>
      </c>
    </row>
    <row r="331" spans="5:9" x14ac:dyDescent="0.2">
      <c r="E331">
        <f>CODE(F331)</f>
        <v>51</v>
      </c>
      <c r="F331">
        <v>3</v>
      </c>
      <c r="G331">
        <v>1</v>
      </c>
      <c r="H331">
        <v>1</v>
      </c>
      <c r="I331">
        <v>1</v>
      </c>
    </row>
    <row r="332" spans="5:9" x14ac:dyDescent="0.2">
      <c r="E332">
        <f>E331+256</f>
        <v>307</v>
      </c>
      <c r="F332">
        <v>1</v>
      </c>
      <c r="I332">
        <v>1</v>
      </c>
    </row>
    <row r="333" spans="5:9" x14ac:dyDescent="0.2">
      <c r="E333">
        <f>E332+256</f>
        <v>563</v>
      </c>
      <c r="F333">
        <v>3</v>
      </c>
      <c r="G333">
        <v>1</v>
      </c>
      <c r="H333">
        <v>1</v>
      </c>
      <c r="I333">
        <v>1</v>
      </c>
    </row>
    <row r="334" spans="5:9" x14ac:dyDescent="0.2">
      <c r="E334">
        <f>E333+256</f>
        <v>819</v>
      </c>
      <c r="F334">
        <v>0</v>
      </c>
      <c r="I334">
        <v>1</v>
      </c>
    </row>
    <row r="335" spans="5:9" x14ac:dyDescent="0.2">
      <c r="E335">
        <f>E334+256</f>
        <v>1075</v>
      </c>
      <c r="G335">
        <v>1</v>
      </c>
      <c r="H335">
        <v>1</v>
      </c>
      <c r="I335">
        <v>1</v>
      </c>
    </row>
    <row r="337" spans="5:9" x14ac:dyDescent="0.2">
      <c r="E337">
        <f>CODE(F337)</f>
        <v>52</v>
      </c>
      <c r="F337">
        <v>4</v>
      </c>
      <c r="G337">
        <v>1</v>
      </c>
      <c r="I337">
        <v>1</v>
      </c>
    </row>
    <row r="338" spans="5:9" x14ac:dyDescent="0.2">
      <c r="E338">
        <f>E337+256</f>
        <v>308</v>
      </c>
      <c r="F338">
        <v>1</v>
      </c>
      <c r="G338">
        <v>1</v>
      </c>
      <c r="I338">
        <v>1</v>
      </c>
    </row>
    <row r="339" spans="5:9" x14ac:dyDescent="0.2">
      <c r="E339">
        <f>E338+256</f>
        <v>564</v>
      </c>
      <c r="F339">
        <v>3</v>
      </c>
      <c r="G339">
        <v>1</v>
      </c>
      <c r="H339">
        <v>1</v>
      </c>
      <c r="I339">
        <v>1</v>
      </c>
    </row>
    <row r="340" spans="5:9" x14ac:dyDescent="0.2">
      <c r="E340">
        <f>E339+256</f>
        <v>820</v>
      </c>
      <c r="F340">
        <v>0</v>
      </c>
      <c r="I340">
        <v>1</v>
      </c>
    </row>
    <row r="341" spans="5:9" x14ac:dyDescent="0.2">
      <c r="E341">
        <f>E340+256</f>
        <v>1076</v>
      </c>
      <c r="I341">
        <v>1</v>
      </c>
    </row>
    <row r="343" spans="5:9" x14ac:dyDescent="0.2">
      <c r="E343">
        <f>CODE(F343)</f>
        <v>53</v>
      </c>
      <c r="F343">
        <v>5</v>
      </c>
      <c r="G343">
        <v>1</v>
      </c>
      <c r="H343">
        <v>1</v>
      </c>
      <c r="I343">
        <v>1</v>
      </c>
    </row>
    <row r="344" spans="5:9" x14ac:dyDescent="0.2">
      <c r="E344">
        <f>E343+256</f>
        <v>309</v>
      </c>
      <c r="F344">
        <v>1</v>
      </c>
      <c r="G344">
        <v>1</v>
      </c>
    </row>
    <row r="345" spans="5:9" x14ac:dyDescent="0.2">
      <c r="E345">
        <f>E344+256</f>
        <v>565</v>
      </c>
      <c r="F345">
        <v>3</v>
      </c>
      <c r="G345">
        <v>1</v>
      </c>
      <c r="H345">
        <v>1</v>
      </c>
      <c r="I345">
        <v>1</v>
      </c>
    </row>
    <row r="346" spans="5:9" x14ac:dyDescent="0.2">
      <c r="E346">
        <f>E345+256</f>
        <v>821</v>
      </c>
      <c r="F346">
        <v>0</v>
      </c>
      <c r="I346">
        <v>1</v>
      </c>
    </row>
    <row r="347" spans="5:9" x14ac:dyDescent="0.2">
      <c r="E347">
        <f>E346+256</f>
        <v>1077</v>
      </c>
      <c r="G347">
        <v>1</v>
      </c>
      <c r="H347">
        <v>1</v>
      </c>
      <c r="I347">
        <v>1</v>
      </c>
    </row>
    <row r="349" spans="5:9" x14ac:dyDescent="0.2">
      <c r="E349">
        <f>CODE(F349)</f>
        <v>54</v>
      </c>
      <c r="F349">
        <v>6</v>
      </c>
      <c r="G349">
        <v>1</v>
      </c>
      <c r="H349">
        <v>1</v>
      </c>
      <c r="I349">
        <v>1</v>
      </c>
    </row>
    <row r="350" spans="5:9" x14ac:dyDescent="0.2">
      <c r="E350">
        <f>E349+256</f>
        <v>310</v>
      </c>
      <c r="F350">
        <v>1</v>
      </c>
      <c r="G350">
        <v>1</v>
      </c>
    </row>
    <row r="351" spans="5:9" x14ac:dyDescent="0.2">
      <c r="E351">
        <f>E350+256</f>
        <v>566</v>
      </c>
      <c r="F351">
        <v>3</v>
      </c>
      <c r="G351">
        <v>1</v>
      </c>
      <c r="H351">
        <v>1</v>
      </c>
      <c r="I351">
        <v>1</v>
      </c>
    </row>
    <row r="352" spans="5:9" x14ac:dyDescent="0.2">
      <c r="E352">
        <f>E351+256</f>
        <v>822</v>
      </c>
      <c r="F352">
        <v>0</v>
      </c>
      <c r="G352">
        <v>1</v>
      </c>
      <c r="I352">
        <v>1</v>
      </c>
    </row>
    <row r="353" spans="5:9" x14ac:dyDescent="0.2">
      <c r="E353">
        <f>E352+256</f>
        <v>1078</v>
      </c>
      <c r="G353">
        <v>1</v>
      </c>
      <c r="H353">
        <v>1</v>
      </c>
      <c r="I353">
        <v>1</v>
      </c>
    </row>
    <row r="355" spans="5:9" x14ac:dyDescent="0.2">
      <c r="E355">
        <f>CODE(F355)</f>
        <v>55</v>
      </c>
      <c r="F355">
        <v>7</v>
      </c>
      <c r="G355">
        <v>1</v>
      </c>
      <c r="H355">
        <v>1</v>
      </c>
      <c r="I355">
        <v>1</v>
      </c>
    </row>
    <row r="356" spans="5:9" x14ac:dyDescent="0.2">
      <c r="E356">
        <f>E355+256</f>
        <v>311</v>
      </c>
      <c r="F356">
        <v>1</v>
      </c>
      <c r="I356">
        <v>1</v>
      </c>
    </row>
    <row r="357" spans="5:9" x14ac:dyDescent="0.2">
      <c r="E357">
        <f>E356+256</f>
        <v>567</v>
      </c>
      <c r="F357">
        <v>3</v>
      </c>
      <c r="I357">
        <v>1</v>
      </c>
    </row>
    <row r="358" spans="5:9" x14ac:dyDescent="0.2">
      <c r="E358">
        <f>E357+256</f>
        <v>823</v>
      </c>
      <c r="F358">
        <v>0</v>
      </c>
      <c r="I358">
        <v>1</v>
      </c>
    </row>
    <row r="359" spans="5:9" x14ac:dyDescent="0.2">
      <c r="E359">
        <f>E358+256</f>
        <v>1079</v>
      </c>
      <c r="I359">
        <v>1</v>
      </c>
    </row>
    <row r="361" spans="5:9" x14ac:dyDescent="0.2">
      <c r="E361">
        <f>CODE(F361)</f>
        <v>56</v>
      </c>
      <c r="F361">
        <v>8</v>
      </c>
      <c r="G361">
        <v>1</v>
      </c>
      <c r="H361">
        <v>1</v>
      </c>
      <c r="I361">
        <v>1</v>
      </c>
    </row>
    <row r="362" spans="5:9" x14ac:dyDescent="0.2">
      <c r="E362">
        <f>E361+256</f>
        <v>312</v>
      </c>
      <c r="F362">
        <v>1</v>
      </c>
      <c r="G362">
        <v>1</v>
      </c>
      <c r="I362">
        <v>1</v>
      </c>
    </row>
    <row r="363" spans="5:9" x14ac:dyDescent="0.2">
      <c r="E363">
        <f>E362+256</f>
        <v>568</v>
      </c>
      <c r="F363">
        <v>3</v>
      </c>
      <c r="G363">
        <v>1</v>
      </c>
      <c r="H363">
        <v>1</v>
      </c>
      <c r="I363">
        <v>1</v>
      </c>
    </row>
    <row r="364" spans="5:9" x14ac:dyDescent="0.2">
      <c r="E364">
        <f>E363+256</f>
        <v>824</v>
      </c>
      <c r="F364">
        <v>0</v>
      </c>
      <c r="G364">
        <v>1</v>
      </c>
      <c r="I364">
        <v>1</v>
      </c>
    </row>
    <row r="365" spans="5:9" x14ac:dyDescent="0.2">
      <c r="E365">
        <f>E364+256</f>
        <v>1080</v>
      </c>
      <c r="G365">
        <v>1</v>
      </c>
      <c r="H365">
        <v>1</v>
      </c>
      <c r="I365">
        <v>1</v>
      </c>
    </row>
    <row r="367" spans="5:9" x14ac:dyDescent="0.2">
      <c r="E367">
        <f>CODE(F367)</f>
        <v>57</v>
      </c>
      <c r="F367">
        <v>9</v>
      </c>
      <c r="G367">
        <v>1</v>
      </c>
      <c r="H367">
        <v>1</v>
      </c>
      <c r="I367">
        <v>1</v>
      </c>
    </row>
    <row r="368" spans="5:9" x14ac:dyDescent="0.2">
      <c r="E368">
        <f>E367+256</f>
        <v>313</v>
      </c>
      <c r="F368">
        <v>1</v>
      </c>
      <c r="G368">
        <v>1</v>
      </c>
      <c r="I368">
        <v>1</v>
      </c>
    </row>
    <row r="369" spans="5:9" x14ac:dyDescent="0.2">
      <c r="E369">
        <f>E368+256</f>
        <v>569</v>
      </c>
      <c r="F369">
        <v>3</v>
      </c>
      <c r="G369">
        <v>1</v>
      </c>
      <c r="H369">
        <v>1</v>
      </c>
      <c r="I369">
        <v>1</v>
      </c>
    </row>
    <row r="370" spans="5:9" x14ac:dyDescent="0.2">
      <c r="E370">
        <f>E369+256</f>
        <v>825</v>
      </c>
      <c r="F370">
        <v>0</v>
      </c>
      <c r="I370">
        <v>1</v>
      </c>
    </row>
    <row r="371" spans="5:9" x14ac:dyDescent="0.2">
      <c r="E371">
        <f>E370+256</f>
        <v>1081</v>
      </c>
      <c r="G371">
        <v>1</v>
      </c>
      <c r="H371">
        <v>1</v>
      </c>
      <c r="I371">
        <v>1</v>
      </c>
    </row>
    <row r="373" spans="5:9" x14ac:dyDescent="0.2">
      <c r="E373">
        <f>CODE(F373)</f>
        <v>48</v>
      </c>
      <c r="F373">
        <v>0</v>
      </c>
      <c r="H373">
        <v>1</v>
      </c>
      <c r="I373">
        <v>1</v>
      </c>
    </row>
    <row r="374" spans="5:9" x14ac:dyDescent="0.2">
      <c r="E374">
        <f>E373+256</f>
        <v>304</v>
      </c>
      <c r="F374">
        <v>1</v>
      </c>
      <c r="G374">
        <v>1</v>
      </c>
      <c r="I374">
        <v>1</v>
      </c>
    </row>
    <row r="375" spans="5:9" x14ac:dyDescent="0.2">
      <c r="E375">
        <f>E374+256</f>
        <v>560</v>
      </c>
      <c r="F375">
        <v>3</v>
      </c>
      <c r="G375">
        <v>1</v>
      </c>
      <c r="I375">
        <v>1</v>
      </c>
    </row>
    <row r="376" spans="5:9" x14ac:dyDescent="0.2">
      <c r="E376">
        <f>E375+256</f>
        <v>816</v>
      </c>
      <c r="F376">
        <v>0</v>
      </c>
      <c r="G376">
        <v>1</v>
      </c>
      <c r="I376">
        <v>1</v>
      </c>
    </row>
    <row r="377" spans="5:9" x14ac:dyDescent="0.2">
      <c r="E377">
        <f>E376+256</f>
        <v>1072</v>
      </c>
      <c r="G377">
        <v>1</v>
      </c>
      <c r="H377">
        <v>1</v>
      </c>
    </row>
    <row r="379" spans="5:9" x14ac:dyDescent="0.2">
      <c r="E379">
        <f>CODE(F379)</f>
        <v>46</v>
      </c>
      <c r="F379" t="s">
        <v>68</v>
      </c>
    </row>
    <row r="380" spans="5:9" x14ac:dyDescent="0.2">
      <c r="E380">
        <f>E379+256</f>
        <v>302</v>
      </c>
      <c r="F380">
        <v>1</v>
      </c>
    </row>
    <row r="381" spans="5:9" x14ac:dyDescent="0.2">
      <c r="E381">
        <f>E380+256</f>
        <v>558</v>
      </c>
      <c r="F381">
        <v>1</v>
      </c>
    </row>
    <row r="382" spans="5:9" x14ac:dyDescent="0.2">
      <c r="E382">
        <f>E381+256</f>
        <v>814</v>
      </c>
      <c r="F382">
        <v>0</v>
      </c>
    </row>
    <row r="383" spans="5:9" x14ac:dyDescent="0.2">
      <c r="E383">
        <f>E382+256</f>
        <v>1070</v>
      </c>
      <c r="G383">
        <v>1</v>
      </c>
    </row>
    <row r="385" spans="5:7" x14ac:dyDescent="0.2">
      <c r="E385">
        <f>CODE(F385)</f>
        <v>58</v>
      </c>
      <c r="F385" t="s">
        <v>69</v>
      </c>
    </row>
    <row r="386" spans="5:7" x14ac:dyDescent="0.2">
      <c r="E386">
        <f>E385+256</f>
        <v>314</v>
      </c>
      <c r="F386">
        <v>1</v>
      </c>
      <c r="G386">
        <v>1</v>
      </c>
    </row>
    <row r="387" spans="5:7" x14ac:dyDescent="0.2">
      <c r="E387">
        <f>E386+256</f>
        <v>570</v>
      </c>
      <c r="F387">
        <v>1</v>
      </c>
    </row>
    <row r="388" spans="5:7" x14ac:dyDescent="0.2">
      <c r="E388">
        <f>E387+256</f>
        <v>826</v>
      </c>
      <c r="F388">
        <v>0</v>
      </c>
      <c r="G388">
        <v>1</v>
      </c>
    </row>
    <row r="389" spans="5:7" x14ac:dyDescent="0.2">
      <c r="E389">
        <f>E388+256</f>
        <v>1082</v>
      </c>
    </row>
    <row r="391" spans="5:7" x14ac:dyDescent="0.2">
      <c r="E391">
        <f>CODE(F391)</f>
        <v>59</v>
      </c>
      <c r="F391" t="s">
        <v>70</v>
      </c>
    </row>
    <row r="392" spans="5:7" x14ac:dyDescent="0.2">
      <c r="E392">
        <f>E391+256</f>
        <v>315</v>
      </c>
      <c r="F392">
        <v>1</v>
      </c>
      <c r="G392">
        <v>1</v>
      </c>
    </row>
    <row r="393" spans="5:7" x14ac:dyDescent="0.2">
      <c r="E393">
        <f>E392+256</f>
        <v>571</v>
      </c>
      <c r="F393">
        <v>1</v>
      </c>
    </row>
    <row r="394" spans="5:7" x14ac:dyDescent="0.2">
      <c r="E394">
        <f>E393+256</f>
        <v>827</v>
      </c>
      <c r="F394">
        <v>0</v>
      </c>
      <c r="G394">
        <v>1</v>
      </c>
    </row>
    <row r="395" spans="5:7" x14ac:dyDescent="0.2">
      <c r="E395">
        <f>E394+256</f>
        <v>1083</v>
      </c>
      <c r="G395">
        <v>1</v>
      </c>
    </row>
    <row r="397" spans="5:7" x14ac:dyDescent="0.2">
      <c r="E397">
        <f>CODE(F397)</f>
        <v>44</v>
      </c>
      <c r="F397" t="s">
        <v>71</v>
      </c>
    </row>
    <row r="398" spans="5:7" x14ac:dyDescent="0.2">
      <c r="E398">
        <f>E397+256</f>
        <v>300</v>
      </c>
      <c r="F398">
        <v>1</v>
      </c>
    </row>
    <row r="399" spans="5:7" x14ac:dyDescent="0.2">
      <c r="E399">
        <f>E398+256</f>
        <v>556</v>
      </c>
      <c r="F399">
        <v>1</v>
      </c>
    </row>
    <row r="400" spans="5:7" x14ac:dyDescent="0.2">
      <c r="E400">
        <f>E399+256</f>
        <v>812</v>
      </c>
      <c r="F400">
        <v>0</v>
      </c>
      <c r="G400">
        <v>1</v>
      </c>
    </row>
    <row r="401" spans="5:9" x14ac:dyDescent="0.2">
      <c r="E401">
        <f>E400+256</f>
        <v>1068</v>
      </c>
      <c r="G401">
        <v>1</v>
      </c>
    </row>
    <row r="403" spans="5:9" x14ac:dyDescent="0.2">
      <c r="E403">
        <f>CODE(F403)</f>
        <v>39</v>
      </c>
      <c r="F403" s="13" t="s">
        <v>72</v>
      </c>
      <c r="G403">
        <v>1</v>
      </c>
    </row>
    <row r="404" spans="5:9" x14ac:dyDescent="0.2">
      <c r="E404">
        <f>E403+256</f>
        <v>295</v>
      </c>
      <c r="F404">
        <v>1</v>
      </c>
      <c r="G404">
        <v>1</v>
      </c>
    </row>
    <row r="405" spans="5:9" x14ac:dyDescent="0.2">
      <c r="E405">
        <f>E404+256</f>
        <v>551</v>
      </c>
      <c r="F405">
        <v>1</v>
      </c>
    </row>
    <row r="406" spans="5:9" x14ac:dyDescent="0.2">
      <c r="E406">
        <f>E405+256</f>
        <v>807</v>
      </c>
      <c r="F406">
        <v>0</v>
      </c>
    </row>
    <row r="407" spans="5:9" x14ac:dyDescent="0.2">
      <c r="E407">
        <f>E406+256</f>
        <v>1063</v>
      </c>
    </row>
    <row r="409" spans="5:9" x14ac:dyDescent="0.2">
      <c r="E409">
        <f>CODE(F409)</f>
        <v>34</v>
      </c>
      <c r="F409" t="s">
        <v>73</v>
      </c>
      <c r="G409">
        <v>1</v>
      </c>
      <c r="I409">
        <v>1</v>
      </c>
    </row>
    <row r="410" spans="5:9" x14ac:dyDescent="0.2">
      <c r="E410">
        <f>E409+256</f>
        <v>290</v>
      </c>
      <c r="F410">
        <v>1</v>
      </c>
      <c r="G410">
        <v>1</v>
      </c>
      <c r="I410">
        <v>1</v>
      </c>
    </row>
    <row r="411" spans="5:9" x14ac:dyDescent="0.2">
      <c r="E411">
        <f>E410+256</f>
        <v>546</v>
      </c>
      <c r="F411">
        <v>3</v>
      </c>
    </row>
    <row r="412" spans="5:9" x14ac:dyDescent="0.2">
      <c r="E412">
        <f>E411+256</f>
        <v>802</v>
      </c>
      <c r="F412">
        <v>0</v>
      </c>
    </row>
    <row r="413" spans="5:9" x14ac:dyDescent="0.2">
      <c r="E413">
        <f>E412+256</f>
        <v>1058</v>
      </c>
    </row>
    <row r="415" spans="5:9" x14ac:dyDescent="0.2">
      <c r="E415">
        <f>CODE(F415)</f>
        <v>40</v>
      </c>
      <c r="F415" t="s">
        <v>74</v>
      </c>
      <c r="H415">
        <v>1</v>
      </c>
    </row>
    <row r="416" spans="5:9" x14ac:dyDescent="0.2">
      <c r="E416">
        <f>E415+256</f>
        <v>296</v>
      </c>
      <c r="F416">
        <v>1</v>
      </c>
      <c r="G416">
        <v>1</v>
      </c>
    </row>
    <row r="417" spans="5:9" x14ac:dyDescent="0.2">
      <c r="E417">
        <f>E416+256</f>
        <v>552</v>
      </c>
      <c r="F417">
        <v>2</v>
      </c>
      <c r="G417">
        <v>1</v>
      </c>
    </row>
    <row r="418" spans="5:9" x14ac:dyDescent="0.2">
      <c r="E418">
        <f>E417+256</f>
        <v>808</v>
      </c>
      <c r="F418">
        <v>0</v>
      </c>
      <c r="G418">
        <v>1</v>
      </c>
    </row>
    <row r="419" spans="5:9" x14ac:dyDescent="0.2">
      <c r="E419">
        <f>E418+256</f>
        <v>1064</v>
      </c>
      <c r="H419">
        <v>1</v>
      </c>
    </row>
    <row r="421" spans="5:9" x14ac:dyDescent="0.2">
      <c r="E421">
        <f>CODE(F421)</f>
        <v>33</v>
      </c>
      <c r="F421" t="s">
        <v>75</v>
      </c>
      <c r="H421">
        <v>1</v>
      </c>
      <c r="I421">
        <v>1</v>
      </c>
    </row>
    <row r="422" spans="5:9" x14ac:dyDescent="0.2">
      <c r="E422">
        <f>E421+256</f>
        <v>289</v>
      </c>
      <c r="F422">
        <v>1</v>
      </c>
      <c r="H422">
        <v>1</v>
      </c>
      <c r="I422">
        <v>1</v>
      </c>
    </row>
    <row r="423" spans="5:9" x14ac:dyDescent="0.2">
      <c r="E423">
        <f>E422+256</f>
        <v>545</v>
      </c>
      <c r="F423">
        <v>3</v>
      </c>
      <c r="H423">
        <v>1</v>
      </c>
    </row>
    <row r="424" spans="5:9" x14ac:dyDescent="0.2">
      <c r="E424">
        <f>E423+256</f>
        <v>801</v>
      </c>
      <c r="F424">
        <v>0</v>
      </c>
    </row>
    <row r="425" spans="5:9" x14ac:dyDescent="0.2">
      <c r="E425">
        <f>E424+256</f>
        <v>1057</v>
      </c>
      <c r="H425">
        <v>1</v>
      </c>
    </row>
    <row r="427" spans="5:9" x14ac:dyDescent="0.2">
      <c r="E427">
        <f>CODE(F427)</f>
        <v>63</v>
      </c>
      <c r="F427" t="s">
        <v>76</v>
      </c>
      <c r="G427">
        <v>1</v>
      </c>
      <c r="H427">
        <v>1</v>
      </c>
      <c r="I427">
        <v>1</v>
      </c>
    </row>
    <row r="428" spans="5:9" x14ac:dyDescent="0.2">
      <c r="E428">
        <f>E427+256</f>
        <v>319</v>
      </c>
      <c r="F428">
        <v>1</v>
      </c>
      <c r="I428">
        <v>1</v>
      </c>
    </row>
    <row r="429" spans="5:9" x14ac:dyDescent="0.2">
      <c r="E429">
        <f>E428+256</f>
        <v>575</v>
      </c>
      <c r="F429">
        <v>3</v>
      </c>
      <c r="G429">
        <v>1</v>
      </c>
      <c r="H429">
        <v>1</v>
      </c>
      <c r="I429">
        <v>1</v>
      </c>
    </row>
    <row r="430" spans="5:9" x14ac:dyDescent="0.2">
      <c r="E430">
        <f>E429+256</f>
        <v>831</v>
      </c>
      <c r="F430">
        <v>0</v>
      </c>
    </row>
    <row r="431" spans="5:9" x14ac:dyDescent="0.2">
      <c r="E431">
        <f>E430+256</f>
        <v>1087</v>
      </c>
      <c r="G431">
        <v>1</v>
      </c>
    </row>
    <row r="433" spans="5:9" x14ac:dyDescent="0.2">
      <c r="E433">
        <f>CODE(F433)</f>
        <v>41</v>
      </c>
      <c r="F433" t="s">
        <v>77</v>
      </c>
      <c r="G433">
        <v>1</v>
      </c>
    </row>
    <row r="434" spans="5:9" x14ac:dyDescent="0.2">
      <c r="E434">
        <f>E433+256</f>
        <v>297</v>
      </c>
      <c r="F434">
        <v>1</v>
      </c>
      <c r="H434">
        <v>1</v>
      </c>
    </row>
    <row r="435" spans="5:9" x14ac:dyDescent="0.2">
      <c r="E435">
        <f>E434+256</f>
        <v>553</v>
      </c>
      <c r="F435">
        <v>2</v>
      </c>
      <c r="H435">
        <v>1</v>
      </c>
    </row>
    <row r="436" spans="5:9" x14ac:dyDescent="0.2">
      <c r="E436">
        <f>E435+256</f>
        <v>809</v>
      </c>
      <c r="F436">
        <v>0</v>
      </c>
      <c r="H436">
        <v>1</v>
      </c>
    </row>
    <row r="437" spans="5:9" x14ac:dyDescent="0.2">
      <c r="E437">
        <f>E436+256</f>
        <v>1065</v>
      </c>
      <c r="G437">
        <v>1</v>
      </c>
    </row>
    <row r="439" spans="5:9" x14ac:dyDescent="0.2">
      <c r="E439">
        <f>CODE(F439)</f>
        <v>43</v>
      </c>
      <c r="F439" s="13" t="s">
        <v>78</v>
      </c>
    </row>
    <row r="440" spans="5:9" x14ac:dyDescent="0.2">
      <c r="E440">
        <f>E439+256</f>
        <v>299</v>
      </c>
      <c r="F440">
        <v>1</v>
      </c>
      <c r="H440">
        <v>1</v>
      </c>
    </row>
    <row r="441" spans="5:9" x14ac:dyDescent="0.2">
      <c r="E441">
        <f>E440+256</f>
        <v>555</v>
      </c>
      <c r="F441">
        <v>3</v>
      </c>
      <c r="G441">
        <v>1</v>
      </c>
      <c r="H441">
        <v>1</v>
      </c>
      <c r="I441">
        <v>1</v>
      </c>
    </row>
    <row r="442" spans="5:9" x14ac:dyDescent="0.2">
      <c r="E442">
        <f>E441+256</f>
        <v>811</v>
      </c>
      <c r="F442">
        <v>0</v>
      </c>
      <c r="H442">
        <v>1</v>
      </c>
    </row>
    <row r="443" spans="5:9" x14ac:dyDescent="0.2">
      <c r="E443">
        <f>E442+256</f>
        <v>1067</v>
      </c>
    </row>
    <row r="445" spans="5:9" x14ac:dyDescent="0.2">
      <c r="E445">
        <f>CODE(F445)</f>
        <v>45</v>
      </c>
      <c r="F445" s="13" t="s">
        <v>79</v>
      </c>
    </row>
    <row r="446" spans="5:9" x14ac:dyDescent="0.2">
      <c r="E446">
        <f>E445+256</f>
        <v>301</v>
      </c>
      <c r="F446">
        <v>1</v>
      </c>
    </row>
    <row r="447" spans="5:9" x14ac:dyDescent="0.2">
      <c r="E447">
        <f>E446+256</f>
        <v>557</v>
      </c>
      <c r="F447">
        <v>3</v>
      </c>
      <c r="G447">
        <v>1</v>
      </c>
      <c r="H447">
        <v>1</v>
      </c>
      <c r="I447">
        <v>1</v>
      </c>
    </row>
    <row r="448" spans="5:9" x14ac:dyDescent="0.2">
      <c r="E448">
        <f>E447+256</f>
        <v>813</v>
      </c>
      <c r="F448">
        <v>0</v>
      </c>
    </row>
    <row r="449" spans="5:9" x14ac:dyDescent="0.2">
      <c r="E449">
        <f>E448+256</f>
        <v>1069</v>
      </c>
    </row>
    <row r="451" spans="5:9" x14ac:dyDescent="0.2">
      <c r="E451">
        <f>CODE(F451)</f>
        <v>42</v>
      </c>
      <c r="F451" s="13" t="s">
        <v>80</v>
      </c>
    </row>
    <row r="452" spans="5:9" x14ac:dyDescent="0.2">
      <c r="E452">
        <f>E451+256</f>
        <v>298</v>
      </c>
      <c r="F452">
        <v>1</v>
      </c>
      <c r="G452">
        <v>1</v>
      </c>
      <c r="I452">
        <v>1</v>
      </c>
    </row>
    <row r="453" spans="5:9" x14ac:dyDescent="0.2">
      <c r="E453">
        <f>E452+256</f>
        <v>554</v>
      </c>
      <c r="F453">
        <v>3</v>
      </c>
      <c r="H453">
        <v>1</v>
      </c>
    </row>
    <row r="454" spans="5:9" x14ac:dyDescent="0.2">
      <c r="E454">
        <f>E453+256</f>
        <v>810</v>
      </c>
      <c r="F454">
        <v>0</v>
      </c>
      <c r="G454">
        <v>1</v>
      </c>
      <c r="I454">
        <v>1</v>
      </c>
    </row>
    <row r="455" spans="5:9" x14ac:dyDescent="0.2">
      <c r="E455">
        <f>E454+256</f>
        <v>1066</v>
      </c>
    </row>
    <row r="457" spans="5:9" x14ac:dyDescent="0.2">
      <c r="E457">
        <f>CODE(F457)</f>
        <v>47</v>
      </c>
      <c r="F457" s="13" t="s">
        <v>81</v>
      </c>
      <c r="I457">
        <v>1</v>
      </c>
    </row>
    <row r="458" spans="5:9" x14ac:dyDescent="0.2">
      <c r="E458">
        <f>E457+256</f>
        <v>303</v>
      </c>
      <c r="F458">
        <v>1</v>
      </c>
      <c r="H458">
        <v>1</v>
      </c>
    </row>
    <row r="459" spans="5:9" x14ac:dyDescent="0.2">
      <c r="E459">
        <f>E458+256</f>
        <v>559</v>
      </c>
      <c r="F459">
        <v>3</v>
      </c>
      <c r="H459">
        <v>1</v>
      </c>
    </row>
    <row r="460" spans="5:9" x14ac:dyDescent="0.2">
      <c r="E460">
        <f>E459+256</f>
        <v>815</v>
      </c>
      <c r="F460">
        <v>0</v>
      </c>
      <c r="H460">
        <v>1</v>
      </c>
    </row>
    <row r="461" spans="5:9" x14ac:dyDescent="0.2">
      <c r="E461">
        <f>E460+256</f>
        <v>1071</v>
      </c>
      <c r="G461">
        <v>1</v>
      </c>
    </row>
    <row r="463" spans="5:9" x14ac:dyDescent="0.2">
      <c r="E463">
        <f>CODE(F463)</f>
        <v>61</v>
      </c>
      <c r="F463" s="13" t="s">
        <v>82</v>
      </c>
    </row>
    <row r="464" spans="5:9" x14ac:dyDescent="0.2">
      <c r="E464">
        <f>E463+256</f>
        <v>317</v>
      </c>
      <c r="F464">
        <v>1</v>
      </c>
      <c r="G464">
        <v>1</v>
      </c>
      <c r="H464">
        <v>1</v>
      </c>
      <c r="I464">
        <v>1</v>
      </c>
    </row>
    <row r="465" spans="5:9" x14ac:dyDescent="0.2">
      <c r="E465">
        <f>E464+256</f>
        <v>573</v>
      </c>
      <c r="F465">
        <v>3</v>
      </c>
    </row>
    <row r="466" spans="5:9" x14ac:dyDescent="0.2">
      <c r="E466">
        <f>E465+256</f>
        <v>829</v>
      </c>
      <c r="F466">
        <v>0</v>
      </c>
      <c r="G466">
        <v>1</v>
      </c>
      <c r="H466">
        <v>1</v>
      </c>
      <c r="I466">
        <v>1</v>
      </c>
    </row>
    <row r="467" spans="5:9" x14ac:dyDescent="0.2">
      <c r="E467">
        <f>E466+256</f>
        <v>1085</v>
      </c>
    </row>
    <row r="469" spans="5:9" x14ac:dyDescent="0.2">
      <c r="E469">
        <f>CODE(F469)</f>
        <v>124</v>
      </c>
      <c r="F469" t="s">
        <v>83</v>
      </c>
      <c r="G469">
        <v>1</v>
      </c>
    </row>
    <row r="470" spans="5:9" x14ac:dyDescent="0.2">
      <c r="E470">
        <f>E469+256</f>
        <v>380</v>
      </c>
      <c r="F470">
        <v>1</v>
      </c>
      <c r="G470">
        <v>1</v>
      </c>
    </row>
    <row r="471" spans="5:9" x14ac:dyDescent="0.2">
      <c r="E471">
        <f>E470+256</f>
        <v>636</v>
      </c>
      <c r="F471">
        <v>1</v>
      </c>
      <c r="G471">
        <v>1</v>
      </c>
    </row>
    <row r="472" spans="5:9" x14ac:dyDescent="0.2">
      <c r="E472">
        <f>E471+256</f>
        <v>892</v>
      </c>
      <c r="F472">
        <v>0</v>
      </c>
      <c r="G472">
        <v>1</v>
      </c>
    </row>
    <row r="473" spans="5:9" x14ac:dyDescent="0.2">
      <c r="E473">
        <f>E472+256</f>
        <v>1148</v>
      </c>
      <c r="G473">
        <v>1</v>
      </c>
    </row>
    <row r="475" spans="5:9" x14ac:dyDescent="0.2">
      <c r="E475">
        <f>CODE(F475)</f>
        <v>92</v>
      </c>
      <c r="F475" t="s">
        <v>84</v>
      </c>
      <c r="G475">
        <v>1</v>
      </c>
    </row>
    <row r="476" spans="5:9" x14ac:dyDescent="0.2">
      <c r="E476">
        <f>E475+256</f>
        <v>348</v>
      </c>
      <c r="F476">
        <v>1</v>
      </c>
      <c r="H476">
        <v>1</v>
      </c>
    </row>
    <row r="477" spans="5:9" x14ac:dyDescent="0.2">
      <c r="E477">
        <f>E476+256</f>
        <v>604</v>
      </c>
      <c r="F477">
        <v>3</v>
      </c>
      <c r="H477">
        <v>1</v>
      </c>
    </row>
    <row r="478" spans="5:9" x14ac:dyDescent="0.2">
      <c r="E478">
        <f>E477+256</f>
        <v>860</v>
      </c>
      <c r="F478">
        <v>0</v>
      </c>
      <c r="H478">
        <v>1</v>
      </c>
    </row>
    <row r="479" spans="5:9" x14ac:dyDescent="0.2">
      <c r="E479">
        <f>E478+256</f>
        <v>1116</v>
      </c>
      <c r="I479">
        <v>1</v>
      </c>
    </row>
    <row r="481" spans="5:9" x14ac:dyDescent="0.2">
      <c r="E481">
        <f>CODE(F481)</f>
        <v>60</v>
      </c>
      <c r="F481" t="s">
        <v>85</v>
      </c>
      <c r="I481">
        <v>1</v>
      </c>
    </row>
    <row r="482" spans="5:9" x14ac:dyDescent="0.2">
      <c r="E482">
        <f>E481+256</f>
        <v>316</v>
      </c>
      <c r="F482">
        <v>1</v>
      </c>
      <c r="H482">
        <v>1</v>
      </c>
    </row>
    <row r="483" spans="5:9" x14ac:dyDescent="0.2">
      <c r="E483">
        <f>E482+256</f>
        <v>572</v>
      </c>
      <c r="F483">
        <v>3</v>
      </c>
      <c r="G483">
        <v>1</v>
      </c>
    </row>
    <row r="484" spans="5:9" x14ac:dyDescent="0.2">
      <c r="E484">
        <f>E483+256</f>
        <v>828</v>
      </c>
      <c r="F484">
        <v>0</v>
      </c>
      <c r="H484">
        <v>1</v>
      </c>
    </row>
    <row r="485" spans="5:9" x14ac:dyDescent="0.2">
      <c r="E485">
        <f>E484+256</f>
        <v>1084</v>
      </c>
      <c r="I485">
        <v>1</v>
      </c>
    </row>
    <row r="487" spans="5:9" x14ac:dyDescent="0.2">
      <c r="E487">
        <f>CODE(F487)</f>
        <v>95</v>
      </c>
      <c r="F487" t="s">
        <v>86</v>
      </c>
    </row>
    <row r="488" spans="5:9" x14ac:dyDescent="0.2">
      <c r="E488">
        <f>E487+256</f>
        <v>351</v>
      </c>
      <c r="F488">
        <v>1</v>
      </c>
    </row>
    <row r="489" spans="5:9" x14ac:dyDescent="0.2">
      <c r="E489">
        <f>E488+256</f>
        <v>607</v>
      </c>
      <c r="F489">
        <v>3</v>
      </c>
    </row>
    <row r="490" spans="5:9" x14ac:dyDescent="0.2">
      <c r="E490">
        <f>E489+256</f>
        <v>863</v>
      </c>
      <c r="F490">
        <v>0</v>
      </c>
    </row>
    <row r="491" spans="5:9" x14ac:dyDescent="0.2">
      <c r="E491">
        <f>E490+256</f>
        <v>1119</v>
      </c>
      <c r="G491">
        <v>1</v>
      </c>
      <c r="H491">
        <v>1</v>
      </c>
      <c r="I491">
        <v>1</v>
      </c>
    </row>
    <row r="493" spans="5:9" x14ac:dyDescent="0.2">
      <c r="E493">
        <f>CODE(F493)</f>
        <v>62</v>
      </c>
      <c r="F493" t="s">
        <v>87</v>
      </c>
      <c r="G493">
        <v>1</v>
      </c>
    </row>
    <row r="494" spans="5:9" x14ac:dyDescent="0.2">
      <c r="E494">
        <f>E493+256</f>
        <v>318</v>
      </c>
      <c r="F494">
        <v>1</v>
      </c>
      <c r="H494">
        <v>1</v>
      </c>
    </row>
    <row r="495" spans="5:9" x14ac:dyDescent="0.2">
      <c r="E495">
        <f>E494+256</f>
        <v>574</v>
      </c>
      <c r="F495">
        <v>3</v>
      </c>
      <c r="I495">
        <v>1</v>
      </c>
    </row>
    <row r="496" spans="5:9" x14ac:dyDescent="0.2">
      <c r="E496">
        <f>E495+256</f>
        <v>830</v>
      </c>
      <c r="F496">
        <v>0</v>
      </c>
      <c r="H496">
        <v>1</v>
      </c>
    </row>
    <row r="497" spans="5:11" x14ac:dyDescent="0.2">
      <c r="E497">
        <f>E496+256</f>
        <v>1086</v>
      </c>
      <c r="G497">
        <v>1</v>
      </c>
    </row>
    <row r="499" spans="5:11" x14ac:dyDescent="0.2">
      <c r="E499">
        <f>CODE(RIGHT(F499,1))+5*256</f>
        <v>1380</v>
      </c>
      <c r="F499" s="13" t="s">
        <v>128</v>
      </c>
      <c r="I499">
        <v>1</v>
      </c>
    </row>
    <row r="500" spans="5:11" x14ac:dyDescent="0.2">
      <c r="E500">
        <f>E499+256</f>
        <v>1636</v>
      </c>
      <c r="F500">
        <v>0</v>
      </c>
      <c r="H500">
        <v>1</v>
      </c>
      <c r="I500">
        <v>1</v>
      </c>
      <c r="J500">
        <v>1</v>
      </c>
    </row>
    <row r="501" spans="5:11" x14ac:dyDescent="0.2">
      <c r="E501">
        <f>E500+256</f>
        <v>1892</v>
      </c>
      <c r="F501">
        <v>5</v>
      </c>
      <c r="G501">
        <v>1</v>
      </c>
      <c r="H501">
        <v>1</v>
      </c>
      <c r="I501">
        <v>1</v>
      </c>
      <c r="J501">
        <v>1</v>
      </c>
      <c r="K501">
        <v>1</v>
      </c>
    </row>
    <row r="502" spans="5:11" x14ac:dyDescent="0.2">
      <c r="E502">
        <f>E501+256</f>
        <v>2148</v>
      </c>
      <c r="F502">
        <v>0</v>
      </c>
      <c r="H502">
        <v>1</v>
      </c>
      <c r="I502">
        <v>1</v>
      </c>
      <c r="J502">
        <v>1</v>
      </c>
    </row>
    <row r="503" spans="5:11" x14ac:dyDescent="0.2">
      <c r="E503">
        <f>E502+256</f>
        <v>2404</v>
      </c>
      <c r="I503">
        <v>1</v>
      </c>
    </row>
    <row r="505" spans="5:11" x14ac:dyDescent="0.2">
      <c r="E505">
        <f>CODE(RIGHT(F505,1))+5*256</f>
        <v>1379</v>
      </c>
      <c r="F505" s="13" t="s">
        <v>129</v>
      </c>
      <c r="G505">
        <v>1</v>
      </c>
      <c r="K505">
        <v>1</v>
      </c>
    </row>
    <row r="506" spans="5:11" x14ac:dyDescent="0.2">
      <c r="E506">
        <f>E505+256</f>
        <v>1635</v>
      </c>
      <c r="F506">
        <v>0</v>
      </c>
      <c r="H506">
        <v>1</v>
      </c>
      <c r="J506">
        <v>1</v>
      </c>
    </row>
    <row r="507" spans="5:11" x14ac:dyDescent="0.2">
      <c r="E507">
        <f>E506+256</f>
        <v>1891</v>
      </c>
      <c r="F507">
        <v>5</v>
      </c>
      <c r="I507">
        <v>1</v>
      </c>
    </row>
    <row r="508" spans="5:11" x14ac:dyDescent="0.2">
      <c r="E508">
        <f>E507+256</f>
        <v>2147</v>
      </c>
      <c r="F508">
        <v>0</v>
      </c>
      <c r="H508">
        <v>1</v>
      </c>
      <c r="J508">
        <v>1</v>
      </c>
    </row>
    <row r="509" spans="5:11" x14ac:dyDescent="0.2">
      <c r="E509">
        <f>E508+256</f>
        <v>2403</v>
      </c>
      <c r="G509">
        <v>1</v>
      </c>
      <c r="K509">
        <v>1</v>
      </c>
    </row>
    <row r="511" spans="5:11" x14ac:dyDescent="0.2">
      <c r="E511">
        <f>CODE(RIGHT(F511,1))+5*256</f>
        <v>1378</v>
      </c>
      <c r="F511" s="13" t="s">
        <v>88</v>
      </c>
      <c r="G511">
        <v>1</v>
      </c>
      <c r="H511">
        <v>1</v>
      </c>
      <c r="I511">
        <v>1</v>
      </c>
    </row>
    <row r="512" spans="5:11" x14ac:dyDescent="0.2">
      <c r="E512">
        <f>E511+256</f>
        <v>1634</v>
      </c>
      <c r="F512">
        <v>0</v>
      </c>
      <c r="G512">
        <v>1</v>
      </c>
      <c r="H512">
        <v>1</v>
      </c>
      <c r="I512">
        <v>1</v>
      </c>
    </row>
    <row r="513" spans="5:9" x14ac:dyDescent="0.2">
      <c r="E513">
        <f>E512+256</f>
        <v>1890</v>
      </c>
      <c r="F513">
        <v>3</v>
      </c>
      <c r="G513">
        <v>1</v>
      </c>
      <c r="H513">
        <v>1</v>
      </c>
      <c r="I513">
        <v>1</v>
      </c>
    </row>
    <row r="514" spans="5:9" x14ac:dyDescent="0.2">
      <c r="E514">
        <f>E513+256</f>
        <v>2146</v>
      </c>
      <c r="F514">
        <v>0</v>
      </c>
      <c r="G514">
        <v>1</v>
      </c>
      <c r="H514">
        <v>1</v>
      </c>
      <c r="I514">
        <v>1</v>
      </c>
    </row>
    <row r="515" spans="5:9" x14ac:dyDescent="0.2">
      <c r="E515">
        <f>E514+256</f>
        <v>2402</v>
      </c>
      <c r="G515">
        <v>1</v>
      </c>
      <c r="H515">
        <v>1</v>
      </c>
      <c r="I515">
        <v>1</v>
      </c>
    </row>
    <row r="517" spans="5:9" x14ac:dyDescent="0.2">
      <c r="E517">
        <f>CODE(RIGHT(F517,1))+5*256</f>
        <v>1388</v>
      </c>
      <c r="F517" s="13" t="s">
        <v>89</v>
      </c>
      <c r="G517">
        <v>1</v>
      </c>
    </row>
    <row r="518" spans="5:9" x14ac:dyDescent="0.2">
      <c r="E518">
        <f>E517+256</f>
        <v>1644</v>
      </c>
      <c r="F518">
        <v>0</v>
      </c>
      <c r="G518">
        <v>1</v>
      </c>
    </row>
    <row r="519" spans="5:9" x14ac:dyDescent="0.2">
      <c r="E519">
        <f>E518+256</f>
        <v>1900</v>
      </c>
      <c r="F519">
        <v>1</v>
      </c>
      <c r="G519">
        <v>1</v>
      </c>
    </row>
    <row r="520" spans="5:9" x14ac:dyDescent="0.2">
      <c r="E520">
        <f>E519+256</f>
        <v>2156</v>
      </c>
      <c r="F520">
        <v>0</v>
      </c>
      <c r="G520">
        <v>1</v>
      </c>
    </row>
    <row r="521" spans="5:9" x14ac:dyDescent="0.2">
      <c r="E521">
        <f>E520+256</f>
        <v>2412</v>
      </c>
      <c r="G521">
        <v>1</v>
      </c>
    </row>
    <row r="523" spans="5:9" x14ac:dyDescent="0.2">
      <c r="E523">
        <f>CODE(F523)</f>
        <v>91</v>
      </c>
      <c r="F523" t="s">
        <v>8</v>
      </c>
      <c r="G523">
        <v>1</v>
      </c>
      <c r="H523">
        <v>1</v>
      </c>
    </row>
    <row r="524" spans="5:9" x14ac:dyDescent="0.2">
      <c r="E524">
        <f>E523+256</f>
        <v>347</v>
      </c>
      <c r="F524">
        <v>1</v>
      </c>
      <c r="H524">
        <v>1</v>
      </c>
    </row>
    <row r="525" spans="5:9" x14ac:dyDescent="0.2">
      <c r="E525">
        <f>E524+256</f>
        <v>603</v>
      </c>
      <c r="F525">
        <v>2</v>
      </c>
      <c r="H525">
        <v>1</v>
      </c>
    </row>
    <row r="526" spans="5:9" x14ac:dyDescent="0.2">
      <c r="E526">
        <f>E525+256</f>
        <v>859</v>
      </c>
      <c r="F526">
        <v>0</v>
      </c>
      <c r="H526">
        <v>1</v>
      </c>
    </row>
    <row r="527" spans="5:9" x14ac:dyDescent="0.2">
      <c r="E527">
        <f>E526+256</f>
        <v>1115</v>
      </c>
      <c r="G527">
        <v>1</v>
      </c>
      <c r="H527">
        <v>1</v>
      </c>
    </row>
    <row r="529" spans="5:8" x14ac:dyDescent="0.2">
      <c r="E529">
        <f>CODE(F529)</f>
        <v>91</v>
      </c>
      <c r="F529" t="s">
        <v>8</v>
      </c>
      <c r="G529">
        <v>1</v>
      </c>
      <c r="H529">
        <v>1</v>
      </c>
    </row>
    <row r="530" spans="5:8" x14ac:dyDescent="0.2">
      <c r="E530">
        <f>E529+256</f>
        <v>347</v>
      </c>
      <c r="F530">
        <v>1</v>
      </c>
      <c r="G530">
        <v>1</v>
      </c>
    </row>
    <row r="531" spans="5:8" x14ac:dyDescent="0.2">
      <c r="E531">
        <f>E530+256</f>
        <v>603</v>
      </c>
      <c r="F531">
        <v>2</v>
      </c>
      <c r="G531">
        <v>1</v>
      </c>
    </row>
    <row r="532" spans="5:8" x14ac:dyDescent="0.2">
      <c r="E532">
        <f>E531+256</f>
        <v>859</v>
      </c>
      <c r="F532">
        <v>0</v>
      </c>
      <c r="G532">
        <v>1</v>
      </c>
    </row>
    <row r="533" spans="5:8" x14ac:dyDescent="0.2">
      <c r="E533">
        <f>E532+256</f>
        <v>1115</v>
      </c>
      <c r="G533">
        <v>1</v>
      </c>
      <c r="H533">
        <v>1</v>
      </c>
    </row>
  </sheetData>
  <phoneticPr fontId="3" type="noConversion"/>
  <conditionalFormatting sqref="M498:M524 K18:K661 K1:L17 L18:L534 G1:J661">
    <cfRule type="cellIs" dxfId="29" priority="3" stopIfTrue="1" operator="equal">
      <formula>1</formula>
    </cfRule>
  </conditionalFormatting>
  <pageMargins left="0.74803149606299213" right="0.74803149606299213" top="0.98425196850393704" bottom="0.98425196850393704" header="0.51181102362204722" footer="0.51181102362204722"/>
  <pageSetup paperSize="9" scale="32" fitToWidth="0"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dimension ref="A1:O533"/>
  <sheetViews>
    <sheetView workbookViewId="0">
      <selection activeCell="A44" sqref="A44"/>
    </sheetView>
  </sheetViews>
  <sheetFormatPr defaultRowHeight="14.25" x14ac:dyDescent="0.2"/>
  <cols>
    <col min="7" max="7" width="2.375" customWidth="1"/>
    <col min="8" max="9" width="2.25" customWidth="1"/>
    <col min="10" max="11" width="1.875" bestFit="1" customWidth="1"/>
    <col min="12" max="12" width="2.125" customWidth="1"/>
  </cols>
  <sheetData>
    <row r="1" spans="1:13" x14ac:dyDescent="0.2">
      <c r="B1" t="str">
        <f>VLOOKUP($D1,$E$1:$I$1053,2,FALSE)</f>
        <v>!</v>
      </c>
      <c r="D1" s="17">
        <f>PutChar</f>
        <v>33</v>
      </c>
      <c r="E1">
        <f>CODE(F1)</f>
        <v>65</v>
      </c>
      <c r="F1" t="s">
        <v>15</v>
      </c>
      <c r="H1">
        <v>1</v>
      </c>
    </row>
    <row r="2" spans="1:13" x14ac:dyDescent="0.2">
      <c r="A2" t="s">
        <v>122</v>
      </c>
      <c r="B2" s="16">
        <f>IF(ISNA(B1),0,1)</f>
        <v>1</v>
      </c>
      <c r="D2">
        <f>D1+256</f>
        <v>289</v>
      </c>
      <c r="E2">
        <f>E1+256</f>
        <v>321</v>
      </c>
      <c r="F2">
        <v>1</v>
      </c>
      <c r="G2">
        <v>1</v>
      </c>
      <c r="I2">
        <v>1</v>
      </c>
    </row>
    <row r="3" spans="1:13" x14ac:dyDescent="0.2">
      <c r="A3" t="s">
        <v>119</v>
      </c>
      <c r="B3">
        <f>VLOOKUP($D2,$E$1:$K$999,2,FALSE)</f>
        <v>1</v>
      </c>
      <c r="C3">
        <f>B5</f>
        <v>0</v>
      </c>
      <c r="D3">
        <f t="shared" ref="D3:E5" si="0">D2+256</f>
        <v>545</v>
      </c>
      <c r="E3">
        <f t="shared" si="0"/>
        <v>577</v>
      </c>
      <c r="F3">
        <v>3</v>
      </c>
      <c r="G3">
        <v>1</v>
      </c>
      <c r="H3">
        <v>1</v>
      </c>
      <c r="I3">
        <v>1</v>
      </c>
    </row>
    <row r="4" spans="1:13" x14ac:dyDescent="0.2">
      <c r="A4" t="s">
        <v>120</v>
      </c>
      <c r="B4">
        <f>VLOOKUP($D3,$E$1:$I$1053,2,FALSE)</f>
        <v>1</v>
      </c>
      <c r="C4">
        <f>B4</f>
        <v>1</v>
      </c>
      <c r="D4">
        <f t="shared" si="0"/>
        <v>801</v>
      </c>
      <c r="E4">
        <f t="shared" si="0"/>
        <v>833</v>
      </c>
      <c r="F4">
        <v>0</v>
      </c>
      <c r="G4">
        <v>1</v>
      </c>
      <c r="I4">
        <v>1</v>
      </c>
    </row>
    <row r="5" spans="1:13" x14ac:dyDescent="0.2">
      <c r="A5" t="s">
        <v>121</v>
      </c>
      <c r="B5">
        <f>VLOOKUP($D4,$E$1:$I$1053,2,FALSE)</f>
        <v>0</v>
      </c>
      <c r="C5">
        <f>B3</f>
        <v>1</v>
      </c>
      <c r="D5">
        <f t="shared" si="0"/>
        <v>1057</v>
      </c>
      <c r="E5">
        <f t="shared" si="0"/>
        <v>1089</v>
      </c>
      <c r="G5">
        <v>1</v>
      </c>
      <c r="I5">
        <v>1</v>
      </c>
    </row>
    <row r="6" spans="1:13" x14ac:dyDescent="0.2">
      <c r="A6">
        <v>1</v>
      </c>
      <c r="B6" s="19">
        <f>IF(A6&lt;=$B$4,VLOOKUP($D1,$E$1:$L$1053,2+A6,FALSE),"")</f>
        <v>1</v>
      </c>
      <c r="C6" s="18">
        <f>IF(A6&lt;=$B$4,VLOOKUP($D1,$E$1:$L$1053,$B$4+3-A6,FALSE),"")</f>
        <v>1</v>
      </c>
      <c r="D6" s="13"/>
    </row>
    <row r="7" spans="1:13" x14ac:dyDescent="0.2">
      <c r="A7">
        <v>1</v>
      </c>
      <c r="B7" s="19">
        <f>IF(A7&lt;=$B$4,VLOOKUP($D2,$E$1:$L$1053,2+A7,FALSE),"")</f>
        <v>1</v>
      </c>
      <c r="C7" s="18">
        <f>IF(A7&lt;=$B$4,VLOOKUP($D2,$E$1:$L$1053,$B$4+3-A7,FALSE),"")</f>
        <v>1</v>
      </c>
      <c r="E7">
        <f>CODE(F7)</f>
        <v>66</v>
      </c>
      <c r="F7" t="s">
        <v>16</v>
      </c>
      <c r="G7">
        <v>1</v>
      </c>
      <c r="H7">
        <v>1</v>
      </c>
      <c r="M7" s="12"/>
    </row>
    <row r="8" spans="1:13" x14ac:dyDescent="0.2">
      <c r="A8">
        <v>1</v>
      </c>
      <c r="B8" s="19">
        <f>IF(A8&lt;=$B$4,VLOOKUP($D3,$E$1:$L$1053,2+A8,FALSE),"")</f>
        <v>1</v>
      </c>
      <c r="C8" s="18">
        <f>IF(A8&lt;=$B$4,VLOOKUP($D3,$E$1:$L$1053,$B$4+3-A8,FALSE),"")</f>
        <v>1</v>
      </c>
      <c r="E8">
        <f>E7+256</f>
        <v>322</v>
      </c>
      <c r="F8">
        <v>1</v>
      </c>
      <c r="G8">
        <v>1</v>
      </c>
      <c r="I8">
        <v>1</v>
      </c>
    </row>
    <row r="9" spans="1:13" x14ac:dyDescent="0.2">
      <c r="A9">
        <v>1</v>
      </c>
      <c r="B9" s="19">
        <f>IF(A9&lt;=$B$4,VLOOKUP($D4,$E$1:$L$1053,2+A9,FALSE),"")</f>
        <v>0</v>
      </c>
      <c r="C9" s="18">
        <f>IF(A9&lt;=$B$4,VLOOKUP($D4,$E$1:$L$1053,$B$4+3-A9,FALSE),"")</f>
        <v>0</v>
      </c>
      <c r="E9">
        <f>E8+256</f>
        <v>578</v>
      </c>
      <c r="F9">
        <v>3</v>
      </c>
      <c r="G9">
        <v>1</v>
      </c>
      <c r="H9">
        <v>1</v>
      </c>
    </row>
    <row r="10" spans="1:13" x14ac:dyDescent="0.2">
      <c r="A10">
        <v>1</v>
      </c>
      <c r="B10" s="19">
        <f>IF(A10&lt;=$B$4,VLOOKUP($D5,$E$1:$L$1053,2+A10,FALSE),"")</f>
        <v>1</v>
      </c>
      <c r="C10" s="18">
        <f>IF(A10&lt;=$B$4,VLOOKUP($D5,$E$1:$L$1053,$B$4+3-A10,FALSE),"")</f>
        <v>1</v>
      </c>
      <c r="E10">
        <f>E9+256</f>
        <v>834</v>
      </c>
      <c r="F10">
        <v>0</v>
      </c>
      <c r="G10">
        <v>1</v>
      </c>
      <c r="I10">
        <v>1</v>
      </c>
    </row>
    <row r="11" spans="1:13" x14ac:dyDescent="0.2">
      <c r="A11">
        <v>2</v>
      </c>
      <c r="B11" s="18" t="str">
        <f>IF(A11&lt;=$B$4,VLOOKUP($D1,$E$1:$L$1053,2+A11,FALSE),"")</f>
        <v/>
      </c>
      <c r="C11" s="19" t="str">
        <f>IF(A11&lt;=$B$4,VLOOKUP($D1,$E$1:$L$1053,$B$4+3-A11,FALSE),"")</f>
        <v/>
      </c>
      <c r="E11">
        <f>E10+256</f>
        <v>1090</v>
      </c>
      <c r="G11">
        <v>1</v>
      </c>
      <c r="H11">
        <v>1</v>
      </c>
    </row>
    <row r="12" spans="1:13" x14ac:dyDescent="0.2">
      <c r="A12">
        <v>2</v>
      </c>
      <c r="B12" s="18" t="str">
        <f>IF(A12&lt;=$B$4,VLOOKUP($D2,$E$1:$L$1053,2+A12,FALSE),"")</f>
        <v/>
      </c>
      <c r="C12" s="19" t="str">
        <f>IF(A12&lt;=$B$4,VLOOKUP($D2,$E$1:$L$1053,$B$4+3-A12,FALSE),"")</f>
        <v/>
      </c>
    </row>
    <row r="13" spans="1:13" x14ac:dyDescent="0.2">
      <c r="A13">
        <v>2</v>
      </c>
      <c r="B13" s="18" t="str">
        <f>IF(A13&lt;=$B$4,VLOOKUP($D3,$E$1:$L$1053,2+A13,FALSE),"")</f>
        <v/>
      </c>
      <c r="C13" s="19" t="str">
        <f>IF(A13&lt;=$B$4,VLOOKUP($D3,$E$1:$L$1053,$B$4+3-A13,FALSE),"")</f>
        <v/>
      </c>
      <c r="E13">
        <f>CODE(F13)</f>
        <v>67</v>
      </c>
      <c r="F13" t="s">
        <v>17</v>
      </c>
      <c r="H13">
        <v>1</v>
      </c>
      <c r="I13">
        <v>1</v>
      </c>
    </row>
    <row r="14" spans="1:13" x14ac:dyDescent="0.2">
      <c r="A14">
        <v>2</v>
      </c>
      <c r="B14" s="18" t="str">
        <f>IF(A14&lt;=$B$4,VLOOKUP($D4,$E$1:$L$1053,2+A14,FALSE),"")</f>
        <v/>
      </c>
      <c r="C14" s="19" t="str">
        <f>IF(A14&lt;=$B$4,VLOOKUP($D4,$E$1:$L$1053,$B$4+3-A14,FALSE),"")</f>
        <v/>
      </c>
      <c r="E14">
        <f>E13+256</f>
        <v>323</v>
      </c>
      <c r="F14">
        <v>1</v>
      </c>
      <c r="G14">
        <v>1</v>
      </c>
    </row>
    <row r="15" spans="1:13" x14ac:dyDescent="0.2">
      <c r="A15">
        <v>2</v>
      </c>
      <c r="B15" s="18" t="str">
        <f>IF(A15&lt;=$B$4,VLOOKUP($D5,$E$1:$L$1053,2+A15,FALSE),"")</f>
        <v/>
      </c>
      <c r="C15" s="19" t="str">
        <f>IF(A15&lt;=$B$4,VLOOKUP($D5,$E$1:$L$1053,$B$4+3-A15,FALSE),"")</f>
        <v/>
      </c>
      <c r="E15">
        <f>E14+256</f>
        <v>579</v>
      </c>
      <c r="F15">
        <v>3</v>
      </c>
      <c r="G15">
        <v>1</v>
      </c>
    </row>
    <row r="16" spans="1:13" x14ac:dyDescent="0.2">
      <c r="A16">
        <v>3</v>
      </c>
      <c r="B16" s="19" t="str">
        <f>IF(A16&lt;=$B$4,VLOOKUP($D1,$E$1:$L$1053,2+A16,FALSE),"")</f>
        <v/>
      </c>
      <c r="C16" s="18" t="str">
        <f>IF(A16&lt;=$B$4,VLOOKUP($D1,$E$1:$L$1053,$B$4+3-A16,FALSE),"")</f>
        <v/>
      </c>
      <c r="E16">
        <f>E15+256</f>
        <v>835</v>
      </c>
      <c r="F16">
        <v>0</v>
      </c>
      <c r="G16">
        <v>1</v>
      </c>
    </row>
    <row r="17" spans="1:9" x14ac:dyDescent="0.2">
      <c r="A17">
        <v>3</v>
      </c>
      <c r="B17" s="19" t="str">
        <f>IF(A17&lt;=$B$4,VLOOKUP($D2,$E$1:$L$1053,2+A17,FALSE),"")</f>
        <v/>
      </c>
      <c r="C17" s="18" t="str">
        <f>IF(A17&lt;=$B$4,VLOOKUP($D2,$E$1:$L$1053,$B$4+3-A17,FALSE),"")</f>
        <v/>
      </c>
      <c r="E17">
        <f>E16+256</f>
        <v>1091</v>
      </c>
      <c r="H17">
        <v>1</v>
      </c>
      <c r="I17">
        <v>1</v>
      </c>
    </row>
    <row r="18" spans="1:9" x14ac:dyDescent="0.2">
      <c r="A18">
        <v>3</v>
      </c>
      <c r="B18" s="19" t="str">
        <f>IF(A18&lt;=$B$4,VLOOKUP($D3,$E$1:$L$1053,2+A18,FALSE),"")</f>
        <v/>
      </c>
      <c r="C18" s="18" t="str">
        <f>IF(A18&lt;=$B$4,VLOOKUP($D3,$E$1:$L$1053,$B$4+3-A18,FALSE),"")</f>
        <v/>
      </c>
    </row>
    <row r="19" spans="1:9" x14ac:dyDescent="0.2">
      <c r="A19">
        <v>3</v>
      </c>
      <c r="B19" s="19" t="str">
        <f>IF(A19&lt;=$B$4,VLOOKUP($D4,$E$1:$L$1053,2+A19,FALSE),"")</f>
        <v/>
      </c>
      <c r="C19" s="18" t="str">
        <f>IF(A19&lt;=$B$4,VLOOKUP($D4,$E$1:$L$1053,$B$4+3-A19,FALSE),"")</f>
        <v/>
      </c>
      <c r="E19">
        <f>CODE(F19)</f>
        <v>68</v>
      </c>
      <c r="F19" t="s">
        <v>18</v>
      </c>
      <c r="G19">
        <v>1</v>
      </c>
      <c r="H19">
        <v>1</v>
      </c>
    </row>
    <row r="20" spans="1:9" x14ac:dyDescent="0.2">
      <c r="A20">
        <v>3</v>
      </c>
      <c r="B20" s="19" t="str">
        <f>IF(A20&lt;=$B$4,VLOOKUP($D5,$E$1:$L$1053,2+A20,FALSE),"")</f>
        <v/>
      </c>
      <c r="C20" s="18" t="str">
        <f>IF(A20&lt;=$B$4,VLOOKUP($D5,$E$1:$L$1053,$B$4+3-A20,FALSE),"")</f>
        <v/>
      </c>
      <c r="E20">
        <f>E19+256</f>
        <v>324</v>
      </c>
      <c r="F20">
        <v>1</v>
      </c>
      <c r="G20">
        <v>1</v>
      </c>
      <c r="I20">
        <v>1</v>
      </c>
    </row>
    <row r="21" spans="1:9" x14ac:dyDescent="0.2">
      <c r="A21">
        <v>4</v>
      </c>
      <c r="B21" s="18" t="str">
        <f>IF(A21&lt;=$B$4,VLOOKUP($D1,$E$1:$L$1053,2+A21,FALSE),"")</f>
        <v/>
      </c>
      <c r="C21" s="19" t="str">
        <f>IF(A21&lt;=$B$4,VLOOKUP($D1,$E$1:$L$1053,$B$4+3-A21,FALSE),"")</f>
        <v/>
      </c>
      <c r="E21">
        <f>E20+256</f>
        <v>580</v>
      </c>
      <c r="F21">
        <v>3</v>
      </c>
      <c r="G21">
        <v>1</v>
      </c>
      <c r="I21">
        <v>1</v>
      </c>
    </row>
    <row r="22" spans="1:9" x14ac:dyDescent="0.2">
      <c r="A22">
        <v>4</v>
      </c>
      <c r="B22" s="18" t="str">
        <f>IF(A22&lt;=$B$4,VLOOKUP($D2,$E$1:$L$1053,2+A22,FALSE),"")</f>
        <v/>
      </c>
      <c r="C22" s="19" t="str">
        <f>IF(A22&lt;=$B$4,VLOOKUP($D2,$E$1:$L$1053,$B$4+3-A22,FALSE),"")</f>
        <v/>
      </c>
      <c r="E22">
        <f>E21+256</f>
        <v>836</v>
      </c>
      <c r="F22">
        <v>0</v>
      </c>
      <c r="G22">
        <v>1</v>
      </c>
      <c r="I22">
        <v>1</v>
      </c>
    </row>
    <row r="23" spans="1:9" x14ac:dyDescent="0.2">
      <c r="A23">
        <v>4</v>
      </c>
      <c r="B23" s="18" t="str">
        <f>IF(A23&lt;=$B$4,VLOOKUP($D3,$E$1:$L$1053,2+A23,FALSE),"")</f>
        <v/>
      </c>
      <c r="C23" s="19" t="str">
        <f>IF(A23&lt;=$B$4,VLOOKUP($D3,$E$1:$L$1053,$B$4+3-A23,FALSE),"")</f>
        <v/>
      </c>
      <c r="E23">
        <f>E22+256</f>
        <v>1092</v>
      </c>
      <c r="G23">
        <v>1</v>
      </c>
      <c r="H23">
        <v>1</v>
      </c>
    </row>
    <row r="24" spans="1:9" x14ac:dyDescent="0.2">
      <c r="A24">
        <v>4</v>
      </c>
      <c r="B24" s="18" t="str">
        <f>IF(A24&lt;=$B$4,VLOOKUP($D4,$E$1:$L$1053,2+A24,FALSE),"")</f>
        <v/>
      </c>
      <c r="C24" s="19" t="str">
        <f>IF(A24&lt;=$B$4,VLOOKUP($D4,$E$1:$L$1053,$B$4+3-A24,FALSE),"")</f>
        <v/>
      </c>
    </row>
    <row r="25" spans="1:9" x14ac:dyDescent="0.2">
      <c r="A25">
        <v>4</v>
      </c>
      <c r="B25" s="18" t="str">
        <f>IF(A25&lt;=$B$4,VLOOKUP($D5,$E$1:$L$1053,2+A25,FALSE),"")</f>
        <v/>
      </c>
      <c r="C25" s="19" t="str">
        <f>IF(A25&lt;=$B$4,VLOOKUP($D5,$E$1:$L$1053,$B$4+3-A25,FALSE),"")</f>
        <v/>
      </c>
      <c r="E25">
        <f>CODE(F25)</f>
        <v>69</v>
      </c>
      <c r="F25" t="s">
        <v>19</v>
      </c>
      <c r="G25">
        <v>1</v>
      </c>
      <c r="H25">
        <v>1</v>
      </c>
      <c r="I25">
        <v>1</v>
      </c>
    </row>
    <row r="26" spans="1:9" x14ac:dyDescent="0.2">
      <c r="A26">
        <v>5</v>
      </c>
      <c r="B26" s="19" t="str">
        <f>IF(A26&lt;=$B$4,VLOOKUP($D1,$E$1:$L$1053,2+A26,FALSE),"")</f>
        <v/>
      </c>
      <c r="C26" s="18" t="str">
        <f>IF(A26&lt;=$B$4,VLOOKUP($D1,$E$1:$L$1053,$B$4+3-A26,FALSE),"")</f>
        <v/>
      </c>
      <c r="E26">
        <f>E25+256</f>
        <v>325</v>
      </c>
      <c r="F26">
        <v>1</v>
      </c>
      <c r="G26">
        <v>1</v>
      </c>
    </row>
    <row r="27" spans="1:9" x14ac:dyDescent="0.2">
      <c r="A27">
        <v>5</v>
      </c>
      <c r="B27" s="19" t="str">
        <f>IF(A27&lt;=$B$4,VLOOKUP($D2,$E$1:$L$1053,2+A27,FALSE),"")</f>
        <v/>
      </c>
      <c r="C27" s="18" t="str">
        <f>IF(A27&lt;=$B$4,VLOOKUP($D2,$E$1:$L$1053,$B$4+3-A27,FALSE),"")</f>
        <v/>
      </c>
      <c r="E27">
        <f>E26+256</f>
        <v>581</v>
      </c>
      <c r="F27">
        <v>3</v>
      </c>
      <c r="G27">
        <v>1</v>
      </c>
      <c r="H27">
        <v>1</v>
      </c>
    </row>
    <row r="28" spans="1:9" x14ac:dyDescent="0.2">
      <c r="A28">
        <v>5</v>
      </c>
      <c r="B28" s="19" t="str">
        <f>IF(A28&lt;=$B$4,VLOOKUP($D3,$E$1:$L$1053,2+A28,FALSE),"")</f>
        <v/>
      </c>
      <c r="C28" s="18" t="str">
        <f>IF(A28&lt;=$B$4,VLOOKUP($D3,$E$1:$L$1053,$B$4+3-A28,FALSE),"")</f>
        <v/>
      </c>
      <c r="E28">
        <f>E27+256</f>
        <v>837</v>
      </c>
      <c r="F28">
        <v>0</v>
      </c>
      <c r="G28">
        <v>1</v>
      </c>
    </row>
    <row r="29" spans="1:9" x14ac:dyDescent="0.2">
      <c r="A29">
        <v>5</v>
      </c>
      <c r="B29" s="19" t="str">
        <f>IF(A29&lt;=$B$4,VLOOKUP($D4,$E$1:$L$1053,2+A29,FALSE),"")</f>
        <v/>
      </c>
      <c r="C29" s="18" t="str">
        <f>IF(A29&lt;=$B$4,VLOOKUP($D4,$E$1:$L$1053,$B$4+3-A29,FALSE),"")</f>
        <v/>
      </c>
      <c r="E29">
        <f>E28+256</f>
        <v>1093</v>
      </c>
      <c r="G29">
        <v>1</v>
      </c>
      <c r="H29">
        <v>1</v>
      </c>
      <c r="I29">
        <v>1</v>
      </c>
    </row>
    <row r="30" spans="1:9" x14ac:dyDescent="0.2">
      <c r="A30">
        <v>5</v>
      </c>
      <c r="B30" s="19" t="str">
        <f>IF(A30&lt;=$B$4,VLOOKUP($D5,$E$1:$L$1053,2+A30,FALSE),"")</f>
        <v/>
      </c>
      <c r="C30" s="18" t="str">
        <f>IF(A30&lt;=$B$4,VLOOKUP($D5,$E$1:$L$1053,$B$4+3-A30,FALSE),"")</f>
        <v/>
      </c>
    </row>
    <row r="31" spans="1:9" x14ac:dyDescent="0.2">
      <c r="A31">
        <v>6</v>
      </c>
      <c r="B31" s="18" t="str">
        <f>IF(A31&lt;=$B$4,VLOOKUP($D1,$E$1:$L$1053,2+A31,FALSE),"")</f>
        <v/>
      </c>
      <c r="C31" s="19" t="str">
        <f>IF(A31&lt;=$B$4,VLOOKUP($D1,$E$1:$L$1053,$B$4+3-A31,FALSE),"")</f>
        <v/>
      </c>
      <c r="E31">
        <f>CODE(F31)</f>
        <v>70</v>
      </c>
      <c r="F31" t="s">
        <v>20</v>
      </c>
      <c r="G31">
        <v>1</v>
      </c>
      <c r="H31">
        <v>1</v>
      </c>
      <c r="I31">
        <v>1</v>
      </c>
    </row>
    <row r="32" spans="1:9" x14ac:dyDescent="0.2">
      <c r="A32">
        <v>6</v>
      </c>
      <c r="B32" s="18" t="str">
        <f>IF(A32&lt;=$B$4,VLOOKUP($D2,$E$1:$L$1053,2+A32,FALSE),"")</f>
        <v/>
      </c>
      <c r="C32" s="19" t="str">
        <f>IF(A32&lt;=$B$4,VLOOKUP($D2,$E$1:$L$1053,$B$4+3-A32,FALSE),"")</f>
        <v/>
      </c>
      <c r="E32">
        <f>E31+256</f>
        <v>326</v>
      </c>
      <c r="F32">
        <v>1</v>
      </c>
      <c r="G32">
        <v>1</v>
      </c>
    </row>
    <row r="33" spans="1:15" x14ac:dyDescent="0.2">
      <c r="A33">
        <v>6</v>
      </c>
      <c r="B33" s="18" t="str">
        <f>IF(A33&lt;=$B$4,VLOOKUP($D3,$E$1:$L$1053,2+A33,FALSE),"")</f>
        <v/>
      </c>
      <c r="C33" s="19" t="str">
        <f>IF(A33&lt;=$B$4,VLOOKUP($D3,$E$1:$L$1053,$B$4+3-A33,FALSE),"")</f>
        <v/>
      </c>
      <c r="E33">
        <f>E32+256</f>
        <v>582</v>
      </c>
      <c r="F33">
        <v>3</v>
      </c>
      <c r="G33">
        <v>1</v>
      </c>
      <c r="H33">
        <v>1</v>
      </c>
    </row>
    <row r="34" spans="1:15" x14ac:dyDescent="0.2">
      <c r="A34">
        <v>6</v>
      </c>
      <c r="B34" s="18" t="str">
        <f>IF(A34&lt;=$B$4,VLOOKUP($D4,$E$1:$L$1053,2+A34,FALSE),"")</f>
        <v/>
      </c>
      <c r="C34" s="19" t="str">
        <f>IF(A34&lt;=$B$4,VLOOKUP($D4,$E$1:$L$1053,$B$4+3-A34,FALSE),"")</f>
        <v/>
      </c>
      <c r="E34">
        <f>E33+256</f>
        <v>838</v>
      </c>
      <c r="F34">
        <v>0</v>
      </c>
      <c r="G34">
        <v>1</v>
      </c>
    </row>
    <row r="35" spans="1:15" x14ac:dyDescent="0.2">
      <c r="A35">
        <v>6</v>
      </c>
      <c r="B35" s="18" t="str">
        <f>IF(A35&lt;=$B$4,VLOOKUP($D5,$E$1:$L$1053,2+A35,FALSE),"")</f>
        <v/>
      </c>
      <c r="C35" s="19" t="str">
        <f>IF(A35&lt;=$B$4,VLOOKUP($D5,$E$1:$L$1053,$B$4+3-A35,FALSE),"")</f>
        <v/>
      </c>
      <c r="E35">
        <f>E34+256</f>
        <v>1094</v>
      </c>
      <c r="G35">
        <v>1</v>
      </c>
    </row>
    <row r="37" spans="1:15" x14ac:dyDescent="0.2">
      <c r="E37">
        <f>CODE(F37)</f>
        <v>71</v>
      </c>
      <c r="F37" t="s">
        <v>22</v>
      </c>
      <c r="H37">
        <v>1</v>
      </c>
      <c r="I37">
        <v>1</v>
      </c>
      <c r="M37" s="12"/>
      <c r="N37" s="12"/>
      <c r="O37" s="12"/>
    </row>
    <row r="38" spans="1:15" x14ac:dyDescent="0.2">
      <c r="E38">
        <f>E37+256</f>
        <v>327</v>
      </c>
      <c r="F38">
        <v>1</v>
      </c>
      <c r="G38">
        <v>1</v>
      </c>
      <c r="M38" s="12"/>
      <c r="N38" s="12"/>
      <c r="O38" s="12"/>
    </row>
    <row r="39" spans="1:15" x14ac:dyDescent="0.2">
      <c r="E39">
        <f>E38+256</f>
        <v>583</v>
      </c>
      <c r="F39">
        <v>3</v>
      </c>
      <c r="G39">
        <v>1</v>
      </c>
      <c r="I39">
        <v>1</v>
      </c>
      <c r="M39" s="12"/>
      <c r="N39" s="12"/>
      <c r="O39" s="12"/>
    </row>
    <row r="40" spans="1:15" x14ac:dyDescent="0.2">
      <c r="E40">
        <f>E39+256</f>
        <v>839</v>
      </c>
      <c r="F40">
        <v>0</v>
      </c>
      <c r="G40">
        <v>1</v>
      </c>
      <c r="I40">
        <v>1</v>
      </c>
      <c r="M40" s="12"/>
      <c r="N40" s="12"/>
      <c r="O40" s="12"/>
    </row>
    <row r="41" spans="1:15" x14ac:dyDescent="0.2">
      <c r="E41">
        <f>E40+256</f>
        <v>1095</v>
      </c>
      <c r="H41">
        <v>1</v>
      </c>
      <c r="I41">
        <v>1</v>
      </c>
      <c r="M41" s="12"/>
      <c r="N41" s="12"/>
      <c r="O41" s="12"/>
    </row>
    <row r="42" spans="1:15" x14ac:dyDescent="0.2">
      <c r="M42" s="12"/>
      <c r="N42" s="12"/>
      <c r="O42" s="12"/>
    </row>
    <row r="43" spans="1:15" x14ac:dyDescent="0.2">
      <c r="E43">
        <f>CODE(F43)</f>
        <v>72</v>
      </c>
      <c r="F43" t="s">
        <v>23</v>
      </c>
      <c r="G43">
        <v>1</v>
      </c>
      <c r="I43">
        <v>1</v>
      </c>
    </row>
    <row r="44" spans="1:15" x14ac:dyDescent="0.2">
      <c r="E44">
        <f>E43+256</f>
        <v>328</v>
      </c>
      <c r="F44">
        <v>1</v>
      </c>
      <c r="G44">
        <v>1</v>
      </c>
      <c r="I44">
        <v>1</v>
      </c>
    </row>
    <row r="45" spans="1:15" x14ac:dyDescent="0.2">
      <c r="E45">
        <f>E44+256</f>
        <v>584</v>
      </c>
      <c r="F45">
        <v>3</v>
      </c>
      <c r="G45">
        <v>1</v>
      </c>
      <c r="H45">
        <v>1</v>
      </c>
      <c r="I45">
        <v>1</v>
      </c>
    </row>
    <row r="46" spans="1:15" x14ac:dyDescent="0.2">
      <c r="E46">
        <f>E45+256</f>
        <v>840</v>
      </c>
      <c r="F46">
        <v>0</v>
      </c>
      <c r="G46">
        <v>1</v>
      </c>
      <c r="I46">
        <v>1</v>
      </c>
    </row>
    <row r="47" spans="1:15" x14ac:dyDescent="0.2">
      <c r="B47">
        <f>B3</f>
        <v>1</v>
      </c>
      <c r="C47">
        <f>B47</f>
        <v>1</v>
      </c>
      <c r="E47">
        <f>E46+256</f>
        <v>1096</v>
      </c>
      <c r="G47">
        <v>1</v>
      </c>
      <c r="I47">
        <v>1</v>
      </c>
    </row>
    <row r="48" spans="1:15" x14ac:dyDescent="0.2">
      <c r="B48">
        <f>B4</f>
        <v>1</v>
      </c>
      <c r="C48">
        <f>B48</f>
        <v>1</v>
      </c>
    </row>
    <row r="49" spans="1:9" x14ac:dyDescent="0.2">
      <c r="B49">
        <f>B5</f>
        <v>0</v>
      </c>
      <c r="C49">
        <f>B49</f>
        <v>0</v>
      </c>
      <c r="E49">
        <f>CODE(F49)</f>
        <v>73</v>
      </c>
      <c r="F49" t="s">
        <v>24</v>
      </c>
      <c r="G49">
        <v>1</v>
      </c>
      <c r="H49">
        <v>1</v>
      </c>
      <c r="I49">
        <v>1</v>
      </c>
    </row>
    <row r="50" spans="1:9" x14ac:dyDescent="0.2">
      <c r="A50">
        <v>1</v>
      </c>
      <c r="B50" s="18">
        <f>B6</f>
        <v>1</v>
      </c>
      <c r="C50" s="19">
        <f t="shared" ref="C50:C55" si="1">B74</f>
        <v>1</v>
      </c>
      <c r="E50">
        <f>E49+256</f>
        <v>329</v>
      </c>
      <c r="F50">
        <v>1</v>
      </c>
      <c r="G50" t="s">
        <v>21</v>
      </c>
      <c r="H50">
        <v>1</v>
      </c>
    </row>
    <row r="51" spans="1:9" x14ac:dyDescent="0.2">
      <c r="A51">
        <v>2</v>
      </c>
      <c r="B51" s="18" t="str">
        <f>B11</f>
        <v/>
      </c>
      <c r="C51" s="19" t="str">
        <f t="shared" si="1"/>
        <v/>
      </c>
      <c r="E51">
        <f>E50+256</f>
        <v>585</v>
      </c>
      <c r="F51">
        <v>3</v>
      </c>
      <c r="H51">
        <v>1</v>
      </c>
    </row>
    <row r="52" spans="1:9" x14ac:dyDescent="0.2">
      <c r="A52">
        <v>3</v>
      </c>
      <c r="B52" s="18" t="str">
        <f>B16</f>
        <v/>
      </c>
      <c r="C52" s="19" t="str">
        <f t="shared" si="1"/>
        <v/>
      </c>
      <c r="E52">
        <f>E51+256</f>
        <v>841</v>
      </c>
      <c r="F52">
        <v>0</v>
      </c>
      <c r="H52">
        <v>1</v>
      </c>
    </row>
    <row r="53" spans="1:9" x14ac:dyDescent="0.2">
      <c r="A53">
        <v>4</v>
      </c>
      <c r="B53" s="18" t="str">
        <f>B21</f>
        <v/>
      </c>
      <c r="C53" s="19" t="str">
        <f t="shared" si="1"/>
        <v/>
      </c>
      <c r="E53">
        <f>E52+256</f>
        <v>1097</v>
      </c>
      <c r="G53">
        <v>1</v>
      </c>
      <c r="H53">
        <v>1</v>
      </c>
      <c r="I53">
        <v>1</v>
      </c>
    </row>
    <row r="54" spans="1:9" x14ac:dyDescent="0.2">
      <c r="A54">
        <v>5</v>
      </c>
      <c r="B54" s="18" t="str">
        <f>B26</f>
        <v/>
      </c>
      <c r="C54" s="19" t="str">
        <f t="shared" si="1"/>
        <v/>
      </c>
    </row>
    <row r="55" spans="1:9" x14ac:dyDescent="0.2">
      <c r="A55">
        <v>6</v>
      </c>
      <c r="B55" s="18" t="str">
        <f>B31</f>
        <v/>
      </c>
      <c r="C55" s="19" t="str">
        <f t="shared" si="1"/>
        <v/>
      </c>
      <c r="E55">
        <f>CODE(F55)</f>
        <v>74</v>
      </c>
      <c r="F55" t="s">
        <v>25</v>
      </c>
      <c r="G55">
        <v>1</v>
      </c>
      <c r="H55">
        <v>1</v>
      </c>
      <c r="I55">
        <v>1</v>
      </c>
    </row>
    <row r="56" spans="1:9" x14ac:dyDescent="0.2">
      <c r="A56">
        <v>1</v>
      </c>
      <c r="B56" s="19">
        <f>B7</f>
        <v>1</v>
      </c>
      <c r="C56" s="18">
        <f t="shared" ref="C56:C61" si="2">B68</f>
        <v>0</v>
      </c>
      <c r="E56">
        <f>E55+256</f>
        <v>330</v>
      </c>
      <c r="F56">
        <v>1</v>
      </c>
      <c r="G56" t="s">
        <v>21</v>
      </c>
      <c r="I56">
        <v>1</v>
      </c>
    </row>
    <row r="57" spans="1:9" x14ac:dyDescent="0.2">
      <c r="A57">
        <v>2</v>
      </c>
      <c r="B57" s="19" t="str">
        <f>B12</f>
        <v/>
      </c>
      <c r="C57" s="18" t="str">
        <f t="shared" si="2"/>
        <v/>
      </c>
      <c r="E57">
        <f>E56+256</f>
        <v>586</v>
      </c>
      <c r="F57">
        <v>3</v>
      </c>
      <c r="G57" t="s">
        <v>21</v>
      </c>
      <c r="H57" t="s">
        <v>21</v>
      </c>
      <c r="I57">
        <v>1</v>
      </c>
    </row>
    <row r="58" spans="1:9" x14ac:dyDescent="0.2">
      <c r="A58">
        <v>3</v>
      </c>
      <c r="B58" s="19" t="str">
        <f>B17</f>
        <v/>
      </c>
      <c r="C58" s="18" t="str">
        <f t="shared" si="2"/>
        <v/>
      </c>
      <c r="E58">
        <f>E57+256</f>
        <v>842</v>
      </c>
      <c r="F58">
        <v>0</v>
      </c>
      <c r="G58">
        <v>1</v>
      </c>
      <c r="I58">
        <v>1</v>
      </c>
    </row>
    <row r="59" spans="1:9" x14ac:dyDescent="0.2">
      <c r="A59">
        <v>4</v>
      </c>
      <c r="B59" s="19" t="str">
        <f>B22</f>
        <v/>
      </c>
      <c r="C59" s="18" t="str">
        <f t="shared" si="2"/>
        <v/>
      </c>
      <c r="E59">
        <f>E58+256</f>
        <v>1098</v>
      </c>
      <c r="G59">
        <v>1</v>
      </c>
      <c r="H59">
        <v>1</v>
      </c>
      <c r="I59">
        <v>1</v>
      </c>
    </row>
    <row r="60" spans="1:9" x14ac:dyDescent="0.2">
      <c r="A60">
        <v>5</v>
      </c>
      <c r="B60" s="19" t="str">
        <f>B27</f>
        <v/>
      </c>
      <c r="C60" s="18" t="str">
        <f t="shared" si="2"/>
        <v/>
      </c>
    </row>
    <row r="61" spans="1:9" x14ac:dyDescent="0.2">
      <c r="A61">
        <v>6</v>
      </c>
      <c r="B61" s="19" t="str">
        <f>B32</f>
        <v/>
      </c>
      <c r="C61" s="18" t="str">
        <f t="shared" si="2"/>
        <v/>
      </c>
      <c r="E61">
        <f>CODE(F61)</f>
        <v>75</v>
      </c>
      <c r="F61" t="s">
        <v>26</v>
      </c>
      <c r="G61">
        <v>1</v>
      </c>
      <c r="I61">
        <v>1</v>
      </c>
    </row>
    <row r="62" spans="1:9" x14ac:dyDescent="0.2">
      <c r="A62">
        <v>1</v>
      </c>
      <c r="B62" s="18">
        <f>B8</f>
        <v>1</v>
      </c>
      <c r="C62" s="19">
        <f t="shared" ref="C62:C67" si="3">B62</f>
        <v>1</v>
      </c>
      <c r="E62">
        <f>E61+256</f>
        <v>331</v>
      </c>
      <c r="F62">
        <v>1</v>
      </c>
      <c r="G62">
        <v>1</v>
      </c>
      <c r="I62">
        <v>1</v>
      </c>
    </row>
    <row r="63" spans="1:9" x14ac:dyDescent="0.2">
      <c r="A63">
        <v>2</v>
      </c>
      <c r="B63" s="18" t="str">
        <f>B13</f>
        <v/>
      </c>
      <c r="C63" s="19" t="str">
        <f t="shared" si="3"/>
        <v/>
      </c>
      <c r="E63">
        <f>E62+256</f>
        <v>587</v>
      </c>
      <c r="F63">
        <v>3</v>
      </c>
      <c r="G63">
        <v>1</v>
      </c>
      <c r="H63">
        <v>1</v>
      </c>
    </row>
    <row r="64" spans="1:9" x14ac:dyDescent="0.2">
      <c r="A64">
        <v>3</v>
      </c>
      <c r="B64" s="18" t="str">
        <f>B18</f>
        <v/>
      </c>
      <c r="C64" s="19" t="str">
        <f t="shared" si="3"/>
        <v/>
      </c>
      <c r="E64">
        <f>E63+256</f>
        <v>843</v>
      </c>
      <c r="F64">
        <v>0</v>
      </c>
      <c r="G64">
        <v>1</v>
      </c>
      <c r="I64">
        <v>1</v>
      </c>
    </row>
    <row r="65" spans="1:11" x14ac:dyDescent="0.2">
      <c r="A65">
        <v>4</v>
      </c>
      <c r="B65" s="18" t="str">
        <f>B23</f>
        <v/>
      </c>
      <c r="C65" s="19" t="str">
        <f t="shared" si="3"/>
        <v/>
      </c>
      <c r="E65">
        <f>E64+256</f>
        <v>1099</v>
      </c>
      <c r="G65">
        <v>1</v>
      </c>
      <c r="I65">
        <v>1</v>
      </c>
    </row>
    <row r="66" spans="1:11" x14ac:dyDescent="0.2">
      <c r="A66">
        <v>5</v>
      </c>
      <c r="B66" s="18" t="str">
        <f>B28</f>
        <v/>
      </c>
      <c r="C66" s="19" t="str">
        <f t="shared" si="3"/>
        <v/>
      </c>
    </row>
    <row r="67" spans="1:11" x14ac:dyDescent="0.2">
      <c r="A67">
        <v>6</v>
      </c>
      <c r="B67" s="18" t="str">
        <f>B33</f>
        <v/>
      </c>
      <c r="C67" s="19" t="str">
        <f t="shared" si="3"/>
        <v/>
      </c>
      <c r="E67">
        <f>CODE(F67)</f>
        <v>76</v>
      </c>
      <c r="F67" t="s">
        <v>27</v>
      </c>
      <c r="G67">
        <v>1</v>
      </c>
    </row>
    <row r="68" spans="1:11" x14ac:dyDescent="0.2">
      <c r="A68">
        <v>1</v>
      </c>
      <c r="B68" s="19">
        <f>B9</f>
        <v>0</v>
      </c>
      <c r="C68" s="18">
        <f t="shared" ref="C68:C73" si="4">B56</f>
        <v>1</v>
      </c>
      <c r="E68">
        <f>E67+256</f>
        <v>332</v>
      </c>
      <c r="F68">
        <v>1</v>
      </c>
      <c r="G68">
        <v>1</v>
      </c>
    </row>
    <row r="69" spans="1:11" x14ac:dyDescent="0.2">
      <c r="A69">
        <v>2</v>
      </c>
      <c r="B69" s="19" t="str">
        <f>B14</f>
        <v/>
      </c>
      <c r="C69" s="18" t="str">
        <f t="shared" si="4"/>
        <v/>
      </c>
      <c r="E69">
        <f>E68+256</f>
        <v>588</v>
      </c>
      <c r="F69">
        <v>3</v>
      </c>
      <c r="G69">
        <v>1</v>
      </c>
    </row>
    <row r="70" spans="1:11" x14ac:dyDescent="0.2">
      <c r="A70">
        <v>3</v>
      </c>
      <c r="B70" s="19" t="str">
        <f>B19</f>
        <v/>
      </c>
      <c r="C70" s="18" t="str">
        <f t="shared" si="4"/>
        <v/>
      </c>
      <c r="E70">
        <f>E69+256</f>
        <v>844</v>
      </c>
      <c r="F70">
        <v>0</v>
      </c>
      <c r="G70">
        <v>1</v>
      </c>
    </row>
    <row r="71" spans="1:11" x14ac:dyDescent="0.2">
      <c r="A71">
        <v>4</v>
      </c>
      <c r="B71" s="19" t="str">
        <f>B24</f>
        <v/>
      </c>
      <c r="C71" s="18" t="str">
        <f t="shared" si="4"/>
        <v/>
      </c>
      <c r="E71">
        <f>E70+256</f>
        <v>1100</v>
      </c>
      <c r="G71">
        <v>1</v>
      </c>
      <c r="H71">
        <v>1</v>
      </c>
      <c r="I71">
        <v>1</v>
      </c>
    </row>
    <row r="72" spans="1:11" x14ac:dyDescent="0.2">
      <c r="A72">
        <v>5</v>
      </c>
      <c r="B72" s="19" t="str">
        <f>B29</f>
        <v/>
      </c>
      <c r="C72" s="18" t="str">
        <f t="shared" si="4"/>
        <v/>
      </c>
    </row>
    <row r="73" spans="1:11" x14ac:dyDescent="0.2">
      <c r="A73">
        <v>6</v>
      </c>
      <c r="B73" s="19" t="str">
        <f>B34</f>
        <v/>
      </c>
      <c r="C73" s="18" t="str">
        <f t="shared" si="4"/>
        <v/>
      </c>
      <c r="E73">
        <f>CODE(F73)</f>
        <v>77</v>
      </c>
      <c r="F73" t="s">
        <v>28</v>
      </c>
      <c r="G73">
        <v>1</v>
      </c>
      <c r="K73">
        <v>1</v>
      </c>
    </row>
    <row r="74" spans="1:11" x14ac:dyDescent="0.2">
      <c r="A74">
        <v>1</v>
      </c>
      <c r="B74" s="18">
        <f>B10</f>
        <v>1</v>
      </c>
      <c r="C74" s="19">
        <f t="shared" ref="C74:C79" si="5">B50</f>
        <v>1</v>
      </c>
      <c r="E74">
        <f>E73+256</f>
        <v>333</v>
      </c>
      <c r="F74">
        <v>1</v>
      </c>
      <c r="G74">
        <v>1</v>
      </c>
      <c r="H74">
        <v>1</v>
      </c>
      <c r="J74">
        <v>1</v>
      </c>
      <c r="K74">
        <v>1</v>
      </c>
    </row>
    <row r="75" spans="1:11" x14ac:dyDescent="0.2">
      <c r="A75">
        <v>2</v>
      </c>
      <c r="B75" s="18" t="str">
        <f>B15</f>
        <v/>
      </c>
      <c r="C75" s="19" t="str">
        <f t="shared" si="5"/>
        <v/>
      </c>
      <c r="E75">
        <f>E74+256</f>
        <v>589</v>
      </c>
      <c r="F75">
        <v>5</v>
      </c>
      <c r="G75">
        <v>1</v>
      </c>
      <c r="I75">
        <v>1</v>
      </c>
      <c r="K75">
        <v>1</v>
      </c>
    </row>
    <row r="76" spans="1:11" x14ac:dyDescent="0.2">
      <c r="A76">
        <v>3</v>
      </c>
      <c r="B76" s="18" t="str">
        <f>B20</f>
        <v/>
      </c>
      <c r="C76" s="19" t="str">
        <f t="shared" si="5"/>
        <v/>
      </c>
      <c r="E76">
        <f>E75+256</f>
        <v>845</v>
      </c>
      <c r="F76">
        <v>0</v>
      </c>
      <c r="G76">
        <v>1</v>
      </c>
      <c r="K76">
        <v>1</v>
      </c>
    </row>
    <row r="77" spans="1:11" x14ac:dyDescent="0.2">
      <c r="A77">
        <v>4</v>
      </c>
      <c r="B77" s="18" t="str">
        <f>B25</f>
        <v/>
      </c>
      <c r="C77" s="19" t="str">
        <f t="shared" si="5"/>
        <v/>
      </c>
      <c r="E77">
        <f>E76+256</f>
        <v>1101</v>
      </c>
      <c r="G77">
        <v>1</v>
      </c>
      <c r="K77">
        <v>1</v>
      </c>
    </row>
    <row r="78" spans="1:11" x14ac:dyDescent="0.2">
      <c r="A78">
        <v>5</v>
      </c>
      <c r="B78" s="18" t="str">
        <f>B30</f>
        <v/>
      </c>
      <c r="C78" s="19" t="str">
        <f t="shared" si="5"/>
        <v/>
      </c>
    </row>
    <row r="79" spans="1:11" x14ac:dyDescent="0.2">
      <c r="A79">
        <v>6</v>
      </c>
      <c r="B79" s="18" t="str">
        <f>B35</f>
        <v/>
      </c>
      <c r="C79" s="19" t="str">
        <f t="shared" si="5"/>
        <v/>
      </c>
      <c r="E79">
        <f>CODE(F79)</f>
        <v>78</v>
      </c>
      <c r="F79" t="s">
        <v>29</v>
      </c>
      <c r="G79">
        <v>1</v>
      </c>
      <c r="H79">
        <v>1</v>
      </c>
    </row>
    <row r="80" spans="1:11" x14ac:dyDescent="0.2">
      <c r="E80">
        <f>E79+256</f>
        <v>334</v>
      </c>
      <c r="F80">
        <v>1</v>
      </c>
      <c r="G80">
        <v>1</v>
      </c>
      <c r="I80">
        <v>1</v>
      </c>
    </row>
    <row r="81" spans="5:9" x14ac:dyDescent="0.2">
      <c r="E81">
        <f>E80+256</f>
        <v>590</v>
      </c>
      <c r="F81">
        <v>3</v>
      </c>
      <c r="G81">
        <v>1</v>
      </c>
      <c r="I81">
        <v>1</v>
      </c>
    </row>
    <row r="82" spans="5:9" x14ac:dyDescent="0.2">
      <c r="E82">
        <f>E81+256</f>
        <v>846</v>
      </c>
      <c r="F82">
        <v>0</v>
      </c>
      <c r="G82">
        <v>1</v>
      </c>
      <c r="I82">
        <v>1</v>
      </c>
    </row>
    <row r="83" spans="5:9" x14ac:dyDescent="0.2">
      <c r="E83">
        <f>E82+256</f>
        <v>1102</v>
      </c>
      <c r="G83">
        <v>1</v>
      </c>
      <c r="I83">
        <v>1</v>
      </c>
    </row>
    <row r="85" spans="5:9" x14ac:dyDescent="0.2">
      <c r="E85">
        <f>CODE(F85)</f>
        <v>79</v>
      </c>
      <c r="F85" t="s">
        <v>30</v>
      </c>
      <c r="H85">
        <v>1</v>
      </c>
    </row>
    <row r="86" spans="5:9" x14ac:dyDescent="0.2">
      <c r="E86">
        <f>E85+256</f>
        <v>335</v>
      </c>
      <c r="F86">
        <v>1</v>
      </c>
      <c r="G86">
        <v>1</v>
      </c>
      <c r="I86">
        <v>1</v>
      </c>
    </row>
    <row r="87" spans="5:9" x14ac:dyDescent="0.2">
      <c r="E87">
        <f>E86+256</f>
        <v>591</v>
      </c>
      <c r="F87">
        <v>3</v>
      </c>
      <c r="G87">
        <v>1</v>
      </c>
      <c r="I87">
        <v>1</v>
      </c>
    </row>
    <row r="88" spans="5:9" x14ac:dyDescent="0.2">
      <c r="E88">
        <f>E87+256</f>
        <v>847</v>
      </c>
      <c r="F88">
        <v>0</v>
      </c>
      <c r="G88">
        <v>1</v>
      </c>
      <c r="I88">
        <v>1</v>
      </c>
    </row>
    <row r="89" spans="5:9" x14ac:dyDescent="0.2">
      <c r="E89">
        <f>E88+256</f>
        <v>1103</v>
      </c>
      <c r="H89">
        <v>1</v>
      </c>
    </row>
    <row r="91" spans="5:9" x14ac:dyDescent="0.2">
      <c r="E91">
        <f>CODE(F91)</f>
        <v>80</v>
      </c>
      <c r="F91" t="s">
        <v>31</v>
      </c>
      <c r="G91">
        <v>1</v>
      </c>
      <c r="H91">
        <v>1</v>
      </c>
    </row>
    <row r="92" spans="5:9" x14ac:dyDescent="0.2">
      <c r="E92">
        <f>E91+256</f>
        <v>336</v>
      </c>
      <c r="F92">
        <v>1</v>
      </c>
      <c r="G92">
        <v>1</v>
      </c>
      <c r="I92">
        <v>1</v>
      </c>
    </row>
    <row r="93" spans="5:9" x14ac:dyDescent="0.2">
      <c r="E93">
        <f>E92+256</f>
        <v>592</v>
      </c>
      <c r="F93">
        <v>3</v>
      </c>
      <c r="G93">
        <v>1</v>
      </c>
      <c r="H93">
        <v>1</v>
      </c>
    </row>
    <row r="94" spans="5:9" x14ac:dyDescent="0.2">
      <c r="E94">
        <f>E93+256</f>
        <v>848</v>
      </c>
      <c r="F94">
        <v>0</v>
      </c>
      <c r="G94">
        <v>1</v>
      </c>
    </row>
    <row r="95" spans="5:9" x14ac:dyDescent="0.2">
      <c r="E95">
        <f>E94+256</f>
        <v>1104</v>
      </c>
      <c r="G95">
        <v>1</v>
      </c>
    </row>
    <row r="97" spans="5:9" x14ac:dyDescent="0.2">
      <c r="E97">
        <f>CODE(F97)</f>
        <v>81</v>
      </c>
      <c r="F97" t="s">
        <v>32</v>
      </c>
      <c r="G97">
        <v>1</v>
      </c>
      <c r="H97">
        <v>1</v>
      </c>
      <c r="I97">
        <v>1</v>
      </c>
    </row>
    <row r="98" spans="5:9" x14ac:dyDescent="0.2">
      <c r="E98">
        <f>E97+256</f>
        <v>337</v>
      </c>
      <c r="F98">
        <v>1</v>
      </c>
      <c r="G98">
        <v>1</v>
      </c>
      <c r="I98">
        <v>1</v>
      </c>
    </row>
    <row r="99" spans="5:9" x14ac:dyDescent="0.2">
      <c r="E99">
        <f>E98+256</f>
        <v>593</v>
      </c>
      <c r="F99">
        <v>3</v>
      </c>
      <c r="G99">
        <v>1</v>
      </c>
      <c r="I99">
        <v>1</v>
      </c>
    </row>
    <row r="100" spans="5:9" x14ac:dyDescent="0.2">
      <c r="E100">
        <f>E99+256</f>
        <v>849</v>
      </c>
      <c r="F100">
        <v>0</v>
      </c>
      <c r="G100">
        <v>1</v>
      </c>
      <c r="H100">
        <v>1</v>
      </c>
      <c r="I100">
        <v>1</v>
      </c>
    </row>
    <row r="101" spans="5:9" x14ac:dyDescent="0.2">
      <c r="E101">
        <f>E100+256</f>
        <v>1105</v>
      </c>
      <c r="H101">
        <v>1</v>
      </c>
      <c r="I101">
        <v>1</v>
      </c>
    </row>
    <row r="103" spans="5:9" x14ac:dyDescent="0.2">
      <c r="E103">
        <f>CODE(F103)</f>
        <v>82</v>
      </c>
      <c r="F103" t="s">
        <v>33</v>
      </c>
      <c r="G103">
        <v>1</v>
      </c>
      <c r="H103">
        <v>1</v>
      </c>
    </row>
    <row r="104" spans="5:9" x14ac:dyDescent="0.2">
      <c r="E104">
        <f>E103+256</f>
        <v>338</v>
      </c>
      <c r="F104">
        <v>1</v>
      </c>
      <c r="G104">
        <v>1</v>
      </c>
      <c r="I104">
        <v>1</v>
      </c>
    </row>
    <row r="105" spans="5:9" x14ac:dyDescent="0.2">
      <c r="E105">
        <f>E104+256</f>
        <v>594</v>
      </c>
      <c r="F105">
        <v>3</v>
      </c>
      <c r="G105">
        <v>1</v>
      </c>
      <c r="H105">
        <v>1</v>
      </c>
    </row>
    <row r="106" spans="5:9" x14ac:dyDescent="0.2">
      <c r="E106">
        <f>E105+256</f>
        <v>850</v>
      </c>
      <c r="F106">
        <v>0</v>
      </c>
      <c r="G106">
        <v>1</v>
      </c>
      <c r="I106">
        <v>1</v>
      </c>
    </row>
    <row r="107" spans="5:9" x14ac:dyDescent="0.2">
      <c r="E107">
        <f>E106+256</f>
        <v>1106</v>
      </c>
      <c r="G107">
        <v>1</v>
      </c>
      <c r="I107">
        <v>1</v>
      </c>
    </row>
    <row r="109" spans="5:9" x14ac:dyDescent="0.2">
      <c r="E109">
        <f>CODE(F109)</f>
        <v>83</v>
      </c>
      <c r="F109" t="s">
        <v>34</v>
      </c>
      <c r="H109">
        <v>1</v>
      </c>
      <c r="I109">
        <v>1</v>
      </c>
    </row>
    <row r="110" spans="5:9" x14ac:dyDescent="0.2">
      <c r="E110">
        <f>E109+256</f>
        <v>339</v>
      </c>
      <c r="F110">
        <v>1</v>
      </c>
      <c r="G110">
        <v>1</v>
      </c>
    </row>
    <row r="111" spans="5:9" x14ac:dyDescent="0.2">
      <c r="E111">
        <f>E110+256</f>
        <v>595</v>
      </c>
      <c r="F111">
        <v>3</v>
      </c>
      <c r="H111">
        <v>1</v>
      </c>
    </row>
    <row r="112" spans="5:9" x14ac:dyDescent="0.2">
      <c r="E112">
        <f>E111+256</f>
        <v>851</v>
      </c>
      <c r="F112">
        <v>0</v>
      </c>
      <c r="I112">
        <v>1</v>
      </c>
    </row>
    <row r="113" spans="5:9" x14ac:dyDescent="0.2">
      <c r="E113">
        <f>E112+256</f>
        <v>1107</v>
      </c>
      <c r="G113">
        <v>1</v>
      </c>
      <c r="H113">
        <v>1</v>
      </c>
    </row>
    <row r="115" spans="5:9" x14ac:dyDescent="0.2">
      <c r="E115">
        <f>CODE(F115)</f>
        <v>84</v>
      </c>
      <c r="F115" t="s">
        <v>35</v>
      </c>
      <c r="G115">
        <v>1</v>
      </c>
      <c r="H115">
        <v>1</v>
      </c>
      <c r="I115">
        <v>1</v>
      </c>
    </row>
    <row r="116" spans="5:9" x14ac:dyDescent="0.2">
      <c r="E116">
        <f>E115+256</f>
        <v>340</v>
      </c>
      <c r="F116">
        <v>1</v>
      </c>
      <c r="H116">
        <v>1</v>
      </c>
    </row>
    <row r="117" spans="5:9" x14ac:dyDescent="0.2">
      <c r="E117">
        <f>E116+256</f>
        <v>596</v>
      </c>
      <c r="F117">
        <v>3</v>
      </c>
      <c r="H117">
        <v>1</v>
      </c>
    </row>
    <row r="118" spans="5:9" x14ac:dyDescent="0.2">
      <c r="E118">
        <f>E117+256</f>
        <v>852</v>
      </c>
      <c r="F118">
        <v>0</v>
      </c>
      <c r="H118">
        <v>1</v>
      </c>
    </row>
    <row r="119" spans="5:9" x14ac:dyDescent="0.2">
      <c r="E119">
        <f>E118+256</f>
        <v>1108</v>
      </c>
      <c r="H119">
        <v>1</v>
      </c>
    </row>
    <row r="121" spans="5:9" x14ac:dyDescent="0.2">
      <c r="E121">
        <f>CODE(F121)</f>
        <v>85</v>
      </c>
      <c r="F121" t="s">
        <v>36</v>
      </c>
      <c r="G121">
        <v>1</v>
      </c>
      <c r="I121">
        <v>1</v>
      </c>
    </row>
    <row r="122" spans="5:9" x14ac:dyDescent="0.2">
      <c r="E122">
        <f>E121+256</f>
        <v>341</v>
      </c>
      <c r="F122">
        <v>1</v>
      </c>
      <c r="G122">
        <v>1</v>
      </c>
      <c r="I122">
        <v>1</v>
      </c>
    </row>
    <row r="123" spans="5:9" x14ac:dyDescent="0.2">
      <c r="E123">
        <f>E122+256</f>
        <v>597</v>
      </c>
      <c r="F123">
        <v>3</v>
      </c>
      <c r="G123">
        <v>1</v>
      </c>
      <c r="I123">
        <v>1</v>
      </c>
    </row>
    <row r="124" spans="5:9" x14ac:dyDescent="0.2">
      <c r="E124">
        <f>E123+256</f>
        <v>853</v>
      </c>
      <c r="F124">
        <v>0</v>
      </c>
      <c r="G124">
        <v>1</v>
      </c>
      <c r="I124">
        <v>1</v>
      </c>
    </row>
    <row r="125" spans="5:9" x14ac:dyDescent="0.2">
      <c r="E125">
        <f>E124+256</f>
        <v>1109</v>
      </c>
      <c r="H125">
        <v>1</v>
      </c>
    </row>
    <row r="127" spans="5:9" x14ac:dyDescent="0.2">
      <c r="E127">
        <f>CODE(F127)</f>
        <v>86</v>
      </c>
      <c r="F127" t="s">
        <v>37</v>
      </c>
      <c r="G127">
        <v>1</v>
      </c>
      <c r="I127">
        <v>1</v>
      </c>
    </row>
    <row r="128" spans="5:9" x14ac:dyDescent="0.2">
      <c r="E128">
        <f>E127+256</f>
        <v>342</v>
      </c>
      <c r="F128">
        <v>1</v>
      </c>
      <c r="G128">
        <v>1</v>
      </c>
      <c r="I128">
        <v>1</v>
      </c>
    </row>
    <row r="129" spans="5:11" x14ac:dyDescent="0.2">
      <c r="E129">
        <f>E128+256</f>
        <v>598</v>
      </c>
      <c r="F129">
        <v>3</v>
      </c>
      <c r="G129">
        <v>1</v>
      </c>
      <c r="I129">
        <v>1</v>
      </c>
    </row>
    <row r="130" spans="5:11" x14ac:dyDescent="0.2">
      <c r="E130">
        <f>E129+256</f>
        <v>854</v>
      </c>
      <c r="F130">
        <v>0</v>
      </c>
      <c r="H130">
        <v>1</v>
      </c>
    </row>
    <row r="131" spans="5:11" x14ac:dyDescent="0.2">
      <c r="E131">
        <f>E130+256</f>
        <v>1110</v>
      </c>
      <c r="H131">
        <v>1</v>
      </c>
    </row>
    <row r="133" spans="5:11" x14ac:dyDescent="0.2">
      <c r="E133">
        <f>CODE(F133)</f>
        <v>87</v>
      </c>
      <c r="F133" t="s">
        <v>38</v>
      </c>
      <c r="G133">
        <v>1</v>
      </c>
      <c r="K133">
        <v>1</v>
      </c>
    </row>
    <row r="134" spans="5:11" x14ac:dyDescent="0.2">
      <c r="E134">
        <f>E133+256</f>
        <v>343</v>
      </c>
      <c r="F134">
        <v>1</v>
      </c>
      <c r="G134">
        <v>1</v>
      </c>
      <c r="K134">
        <v>1</v>
      </c>
    </row>
    <row r="135" spans="5:11" x14ac:dyDescent="0.2">
      <c r="E135">
        <f>E134+256</f>
        <v>599</v>
      </c>
      <c r="F135">
        <v>5</v>
      </c>
      <c r="G135">
        <v>1</v>
      </c>
      <c r="I135">
        <v>1</v>
      </c>
      <c r="K135">
        <v>1</v>
      </c>
    </row>
    <row r="136" spans="5:11" x14ac:dyDescent="0.2">
      <c r="E136">
        <f>E135+256</f>
        <v>855</v>
      </c>
      <c r="F136">
        <v>0</v>
      </c>
      <c r="G136">
        <v>1</v>
      </c>
      <c r="H136">
        <v>1</v>
      </c>
      <c r="J136">
        <v>1</v>
      </c>
      <c r="K136">
        <v>1</v>
      </c>
    </row>
    <row r="137" spans="5:11" x14ac:dyDescent="0.2">
      <c r="E137">
        <f>E136+256</f>
        <v>1111</v>
      </c>
      <c r="G137">
        <v>1</v>
      </c>
      <c r="K137">
        <v>1</v>
      </c>
    </row>
    <row r="139" spans="5:11" x14ac:dyDescent="0.2">
      <c r="E139">
        <f>CODE(F139)</f>
        <v>88</v>
      </c>
      <c r="F139" t="s">
        <v>39</v>
      </c>
      <c r="G139">
        <v>1</v>
      </c>
      <c r="I139">
        <v>1</v>
      </c>
    </row>
    <row r="140" spans="5:11" x14ac:dyDescent="0.2">
      <c r="E140">
        <f>E139+256</f>
        <v>344</v>
      </c>
      <c r="F140">
        <v>1</v>
      </c>
      <c r="G140">
        <v>1</v>
      </c>
      <c r="I140">
        <v>1</v>
      </c>
    </row>
    <row r="141" spans="5:11" x14ac:dyDescent="0.2">
      <c r="E141">
        <f>E140+256</f>
        <v>600</v>
      </c>
      <c r="F141">
        <v>3</v>
      </c>
      <c r="H141">
        <v>1</v>
      </c>
    </row>
    <row r="142" spans="5:11" x14ac:dyDescent="0.2">
      <c r="E142">
        <f>E141+256</f>
        <v>856</v>
      </c>
      <c r="F142">
        <v>0</v>
      </c>
      <c r="G142">
        <v>1</v>
      </c>
      <c r="I142">
        <v>1</v>
      </c>
    </row>
    <row r="143" spans="5:11" x14ac:dyDescent="0.2">
      <c r="E143">
        <f>E142+256</f>
        <v>1112</v>
      </c>
      <c r="G143">
        <v>1</v>
      </c>
      <c r="I143">
        <v>1</v>
      </c>
    </row>
    <row r="145" spans="5:9" x14ac:dyDescent="0.2">
      <c r="E145">
        <f>CODE(F145)</f>
        <v>89</v>
      </c>
      <c r="F145" t="s">
        <v>40</v>
      </c>
      <c r="G145">
        <v>1</v>
      </c>
      <c r="I145">
        <v>1</v>
      </c>
    </row>
    <row r="146" spans="5:9" x14ac:dyDescent="0.2">
      <c r="E146">
        <f>E145+256</f>
        <v>345</v>
      </c>
      <c r="F146">
        <v>1</v>
      </c>
      <c r="G146">
        <v>1</v>
      </c>
      <c r="I146">
        <v>1</v>
      </c>
    </row>
    <row r="147" spans="5:9" x14ac:dyDescent="0.2">
      <c r="E147">
        <f>E146+256</f>
        <v>601</v>
      </c>
      <c r="F147">
        <v>3</v>
      </c>
      <c r="H147">
        <v>1</v>
      </c>
    </row>
    <row r="148" spans="5:9" x14ac:dyDescent="0.2">
      <c r="E148">
        <f>E147+256</f>
        <v>857</v>
      </c>
      <c r="F148">
        <v>0</v>
      </c>
      <c r="H148">
        <v>1</v>
      </c>
    </row>
    <row r="149" spans="5:9" x14ac:dyDescent="0.2">
      <c r="E149">
        <f>E148+256</f>
        <v>1113</v>
      </c>
      <c r="H149">
        <v>1</v>
      </c>
    </row>
    <row r="151" spans="5:9" x14ac:dyDescent="0.2">
      <c r="E151">
        <f>CODE(F151)</f>
        <v>90</v>
      </c>
      <c r="F151" t="s">
        <v>41</v>
      </c>
      <c r="G151">
        <v>1</v>
      </c>
      <c r="H151">
        <v>1</v>
      </c>
      <c r="I151">
        <v>1</v>
      </c>
    </row>
    <row r="152" spans="5:9" x14ac:dyDescent="0.2">
      <c r="E152">
        <f>E151+256</f>
        <v>346</v>
      </c>
      <c r="F152">
        <v>1</v>
      </c>
      <c r="I152">
        <v>1</v>
      </c>
    </row>
    <row r="153" spans="5:9" x14ac:dyDescent="0.2">
      <c r="E153">
        <f>E152+256</f>
        <v>602</v>
      </c>
      <c r="F153">
        <v>3</v>
      </c>
      <c r="H153">
        <v>1</v>
      </c>
    </row>
    <row r="154" spans="5:9" x14ac:dyDescent="0.2">
      <c r="E154">
        <f>E153+256</f>
        <v>858</v>
      </c>
      <c r="F154">
        <v>0</v>
      </c>
      <c r="G154">
        <v>1</v>
      </c>
    </row>
    <row r="155" spans="5:9" x14ac:dyDescent="0.2">
      <c r="E155">
        <f>E154+256</f>
        <v>1114</v>
      </c>
      <c r="G155">
        <v>1</v>
      </c>
      <c r="H155">
        <v>1</v>
      </c>
      <c r="I155">
        <v>1</v>
      </c>
    </row>
    <row r="157" spans="5:9" x14ac:dyDescent="0.2">
      <c r="E157">
        <f>CODE(F157)</f>
        <v>97</v>
      </c>
      <c r="F157" t="s">
        <v>42</v>
      </c>
    </row>
    <row r="158" spans="5:9" x14ac:dyDescent="0.2">
      <c r="E158">
        <f>E157+256</f>
        <v>353</v>
      </c>
      <c r="F158">
        <v>1</v>
      </c>
      <c r="H158">
        <v>1</v>
      </c>
      <c r="I158">
        <v>1</v>
      </c>
    </row>
    <row r="159" spans="5:9" x14ac:dyDescent="0.2">
      <c r="E159">
        <f>E158+256</f>
        <v>609</v>
      </c>
      <c r="F159">
        <v>3</v>
      </c>
      <c r="G159">
        <v>1</v>
      </c>
      <c r="I159">
        <v>1</v>
      </c>
    </row>
    <row r="160" spans="5:9" x14ac:dyDescent="0.2">
      <c r="E160">
        <f>E159+256</f>
        <v>865</v>
      </c>
      <c r="F160">
        <v>0</v>
      </c>
      <c r="G160">
        <v>1</v>
      </c>
      <c r="I160">
        <v>1</v>
      </c>
    </row>
    <row r="161" spans="5:9" x14ac:dyDescent="0.2">
      <c r="E161">
        <f>E160+256</f>
        <v>1121</v>
      </c>
      <c r="H161">
        <v>1</v>
      </c>
      <c r="I161">
        <v>1</v>
      </c>
    </row>
    <row r="163" spans="5:9" x14ac:dyDescent="0.2">
      <c r="E163">
        <f>CODE(F163)</f>
        <v>98</v>
      </c>
      <c r="F163" t="s">
        <v>43</v>
      </c>
      <c r="G163">
        <v>1</v>
      </c>
    </row>
    <row r="164" spans="5:9" x14ac:dyDescent="0.2">
      <c r="E164">
        <f>E163+256</f>
        <v>354</v>
      </c>
      <c r="F164">
        <v>1</v>
      </c>
      <c r="G164">
        <v>1</v>
      </c>
      <c r="H164">
        <v>1</v>
      </c>
    </row>
    <row r="165" spans="5:9" x14ac:dyDescent="0.2">
      <c r="E165">
        <f>E164+256</f>
        <v>610</v>
      </c>
      <c r="F165">
        <v>3</v>
      </c>
      <c r="G165">
        <v>1</v>
      </c>
      <c r="I165">
        <v>1</v>
      </c>
    </row>
    <row r="166" spans="5:9" x14ac:dyDescent="0.2">
      <c r="E166">
        <f>E165+256</f>
        <v>866</v>
      </c>
      <c r="F166">
        <v>0</v>
      </c>
      <c r="G166">
        <v>1</v>
      </c>
      <c r="I166">
        <v>1</v>
      </c>
    </row>
    <row r="167" spans="5:9" x14ac:dyDescent="0.2">
      <c r="E167">
        <f>E166+256</f>
        <v>1122</v>
      </c>
      <c r="G167">
        <v>1</v>
      </c>
      <c r="H167">
        <v>1</v>
      </c>
    </row>
    <row r="169" spans="5:9" x14ac:dyDescent="0.2">
      <c r="E169">
        <f>CODE(F169)</f>
        <v>99</v>
      </c>
      <c r="F169" t="s">
        <v>44</v>
      </c>
    </row>
    <row r="170" spans="5:9" x14ac:dyDescent="0.2">
      <c r="E170">
        <f>E169+256</f>
        <v>355</v>
      </c>
      <c r="F170">
        <v>1</v>
      </c>
      <c r="H170">
        <v>1</v>
      </c>
      <c r="I170">
        <v>1</v>
      </c>
    </row>
    <row r="171" spans="5:9" x14ac:dyDescent="0.2">
      <c r="E171">
        <f>E170+256</f>
        <v>611</v>
      </c>
      <c r="F171">
        <v>3</v>
      </c>
      <c r="G171">
        <v>1</v>
      </c>
    </row>
    <row r="172" spans="5:9" x14ac:dyDescent="0.2">
      <c r="E172">
        <f>E171+256</f>
        <v>867</v>
      </c>
      <c r="F172">
        <v>0</v>
      </c>
      <c r="G172">
        <v>1</v>
      </c>
    </row>
    <row r="173" spans="5:9" x14ac:dyDescent="0.2">
      <c r="E173">
        <f>E172+256</f>
        <v>1123</v>
      </c>
      <c r="H173">
        <v>1</v>
      </c>
      <c r="I173">
        <v>1</v>
      </c>
    </row>
    <row r="175" spans="5:9" x14ac:dyDescent="0.2">
      <c r="E175">
        <f>CODE(F175)</f>
        <v>100</v>
      </c>
      <c r="F175" t="s">
        <v>45</v>
      </c>
      <c r="I175">
        <v>1</v>
      </c>
    </row>
    <row r="176" spans="5:9" x14ac:dyDescent="0.2">
      <c r="E176">
        <f>E175+256</f>
        <v>356</v>
      </c>
      <c r="F176">
        <v>1</v>
      </c>
      <c r="H176">
        <v>1</v>
      </c>
      <c r="I176">
        <v>1</v>
      </c>
    </row>
    <row r="177" spans="5:9" x14ac:dyDescent="0.2">
      <c r="E177">
        <f>E176+256</f>
        <v>612</v>
      </c>
      <c r="F177">
        <v>3</v>
      </c>
      <c r="G177">
        <v>1</v>
      </c>
      <c r="I177">
        <v>1</v>
      </c>
    </row>
    <row r="178" spans="5:9" x14ac:dyDescent="0.2">
      <c r="E178">
        <f>E177+256</f>
        <v>868</v>
      </c>
      <c r="F178">
        <v>0</v>
      </c>
      <c r="G178">
        <v>1</v>
      </c>
      <c r="I178">
        <v>1</v>
      </c>
    </row>
    <row r="179" spans="5:9" x14ac:dyDescent="0.2">
      <c r="E179">
        <f>E178+256</f>
        <v>1124</v>
      </c>
      <c r="H179">
        <v>1</v>
      </c>
      <c r="I179">
        <v>1</v>
      </c>
    </row>
    <row r="181" spans="5:9" x14ac:dyDescent="0.2">
      <c r="E181">
        <f>CODE(F181)</f>
        <v>101</v>
      </c>
      <c r="F181" t="s">
        <v>46</v>
      </c>
    </row>
    <row r="182" spans="5:9" x14ac:dyDescent="0.2">
      <c r="E182">
        <f>E181+256</f>
        <v>357</v>
      </c>
      <c r="F182">
        <v>1</v>
      </c>
      <c r="H182">
        <v>1</v>
      </c>
    </row>
    <row r="183" spans="5:9" x14ac:dyDescent="0.2">
      <c r="E183">
        <f>E182+256</f>
        <v>613</v>
      </c>
      <c r="F183">
        <v>3</v>
      </c>
      <c r="G183">
        <v>1</v>
      </c>
      <c r="I183">
        <v>1</v>
      </c>
    </row>
    <row r="184" spans="5:9" x14ac:dyDescent="0.2">
      <c r="E184">
        <f>E183+256</f>
        <v>869</v>
      </c>
      <c r="F184">
        <v>0</v>
      </c>
      <c r="G184">
        <v>1</v>
      </c>
      <c r="H184">
        <v>1</v>
      </c>
    </row>
    <row r="185" spans="5:9" x14ac:dyDescent="0.2">
      <c r="E185">
        <f>E184+256</f>
        <v>1125</v>
      </c>
      <c r="H185">
        <v>1</v>
      </c>
      <c r="I185">
        <v>1</v>
      </c>
    </row>
    <row r="187" spans="5:9" x14ac:dyDescent="0.2">
      <c r="E187">
        <f>CODE(F187)</f>
        <v>102</v>
      </c>
      <c r="F187" t="s">
        <v>47</v>
      </c>
      <c r="H187">
        <v>1</v>
      </c>
    </row>
    <row r="188" spans="5:9" x14ac:dyDescent="0.2">
      <c r="E188">
        <f>E187+256</f>
        <v>358</v>
      </c>
      <c r="F188">
        <v>1</v>
      </c>
      <c r="G188">
        <v>1</v>
      </c>
    </row>
    <row r="189" spans="5:9" x14ac:dyDescent="0.2">
      <c r="E189">
        <f>E188+256</f>
        <v>614</v>
      </c>
      <c r="F189">
        <v>2</v>
      </c>
      <c r="G189">
        <v>1</v>
      </c>
      <c r="H189">
        <v>1</v>
      </c>
    </row>
    <row r="190" spans="5:9" x14ac:dyDescent="0.2">
      <c r="E190">
        <f>E189+256</f>
        <v>870</v>
      </c>
      <c r="F190">
        <v>0</v>
      </c>
      <c r="G190">
        <v>1</v>
      </c>
    </row>
    <row r="191" spans="5:9" x14ac:dyDescent="0.2">
      <c r="E191">
        <f>E190+256</f>
        <v>1126</v>
      </c>
      <c r="G191">
        <v>1</v>
      </c>
    </row>
    <row r="193" spans="5:9" x14ac:dyDescent="0.2">
      <c r="E193">
        <f>CODE(F193)</f>
        <v>103</v>
      </c>
      <c r="F193" t="s">
        <v>48</v>
      </c>
      <c r="H193">
        <v>1</v>
      </c>
      <c r="I193">
        <v>1</v>
      </c>
    </row>
    <row r="194" spans="5:9" x14ac:dyDescent="0.2">
      <c r="E194">
        <f>E193+256</f>
        <v>359</v>
      </c>
      <c r="F194">
        <v>1</v>
      </c>
      <c r="G194">
        <v>1</v>
      </c>
      <c r="I194">
        <v>1</v>
      </c>
    </row>
    <row r="195" spans="5:9" x14ac:dyDescent="0.2">
      <c r="E195">
        <f>E194+256</f>
        <v>615</v>
      </c>
      <c r="F195">
        <v>3</v>
      </c>
      <c r="G195">
        <v>1</v>
      </c>
      <c r="I195">
        <v>1</v>
      </c>
    </row>
    <row r="196" spans="5:9" x14ac:dyDescent="0.2">
      <c r="E196">
        <f>E195+256</f>
        <v>871</v>
      </c>
      <c r="F196">
        <v>0</v>
      </c>
      <c r="H196">
        <v>1</v>
      </c>
      <c r="I196">
        <v>1</v>
      </c>
    </row>
    <row r="197" spans="5:9" x14ac:dyDescent="0.2">
      <c r="E197">
        <f>E196+256</f>
        <v>1127</v>
      </c>
      <c r="G197">
        <v>1</v>
      </c>
      <c r="H197">
        <v>1</v>
      </c>
    </row>
    <row r="199" spans="5:9" x14ac:dyDescent="0.2">
      <c r="E199">
        <f>CODE(F199)</f>
        <v>104</v>
      </c>
      <c r="F199" t="s">
        <v>49</v>
      </c>
      <c r="G199">
        <v>1</v>
      </c>
    </row>
    <row r="200" spans="5:9" x14ac:dyDescent="0.2">
      <c r="E200">
        <f>E199+256</f>
        <v>360</v>
      </c>
      <c r="F200">
        <v>1</v>
      </c>
      <c r="G200">
        <v>1</v>
      </c>
      <c r="H200">
        <v>1</v>
      </c>
    </row>
    <row r="201" spans="5:9" x14ac:dyDescent="0.2">
      <c r="E201">
        <f>E200+256</f>
        <v>616</v>
      </c>
      <c r="F201">
        <v>3</v>
      </c>
      <c r="G201">
        <v>1</v>
      </c>
      <c r="I201">
        <v>1</v>
      </c>
    </row>
    <row r="202" spans="5:9" x14ac:dyDescent="0.2">
      <c r="E202">
        <f>E201+256</f>
        <v>872</v>
      </c>
      <c r="F202">
        <v>0</v>
      </c>
      <c r="G202">
        <v>1</v>
      </c>
      <c r="I202">
        <v>1</v>
      </c>
    </row>
    <row r="203" spans="5:9" x14ac:dyDescent="0.2">
      <c r="E203">
        <f>E202+256</f>
        <v>1128</v>
      </c>
      <c r="G203">
        <v>1</v>
      </c>
      <c r="I203">
        <v>1</v>
      </c>
    </row>
    <row r="205" spans="5:9" x14ac:dyDescent="0.2">
      <c r="E205">
        <f>CODE(F205)</f>
        <v>105</v>
      </c>
      <c r="F205" t="s">
        <v>50</v>
      </c>
      <c r="G205">
        <v>1</v>
      </c>
    </row>
    <row r="206" spans="5:9" x14ac:dyDescent="0.2">
      <c r="E206">
        <f>E205+256</f>
        <v>361</v>
      </c>
      <c r="F206">
        <v>1</v>
      </c>
      <c r="G206" t="s">
        <v>21</v>
      </c>
    </row>
    <row r="207" spans="5:9" x14ac:dyDescent="0.2">
      <c r="E207">
        <f>E206+256</f>
        <v>617</v>
      </c>
      <c r="F207">
        <v>1</v>
      </c>
      <c r="G207">
        <v>1</v>
      </c>
    </row>
    <row r="208" spans="5:9" x14ac:dyDescent="0.2">
      <c r="E208">
        <f>E207+256</f>
        <v>873</v>
      </c>
      <c r="F208">
        <v>0</v>
      </c>
      <c r="G208">
        <v>1</v>
      </c>
    </row>
    <row r="209" spans="5:9" x14ac:dyDescent="0.2">
      <c r="E209">
        <f>E208+256</f>
        <v>1129</v>
      </c>
      <c r="G209">
        <v>1</v>
      </c>
    </row>
    <row r="211" spans="5:9" x14ac:dyDescent="0.2">
      <c r="E211">
        <f>CODE(F211)</f>
        <v>106</v>
      </c>
      <c r="F211" t="s">
        <v>51</v>
      </c>
      <c r="I211">
        <v>1</v>
      </c>
    </row>
    <row r="212" spans="5:9" x14ac:dyDescent="0.2">
      <c r="E212">
        <f>E211+256</f>
        <v>362</v>
      </c>
      <c r="F212">
        <v>1</v>
      </c>
      <c r="G212" t="s">
        <v>21</v>
      </c>
    </row>
    <row r="213" spans="5:9" x14ac:dyDescent="0.2">
      <c r="E213">
        <f>E212+256</f>
        <v>618</v>
      </c>
      <c r="F213">
        <v>3</v>
      </c>
      <c r="G213" t="s">
        <v>21</v>
      </c>
      <c r="H213" t="s">
        <v>21</v>
      </c>
      <c r="I213">
        <v>1</v>
      </c>
    </row>
    <row r="214" spans="5:9" x14ac:dyDescent="0.2">
      <c r="E214">
        <f>E213+256</f>
        <v>874</v>
      </c>
      <c r="F214">
        <v>0</v>
      </c>
      <c r="G214">
        <v>1</v>
      </c>
      <c r="I214">
        <v>1</v>
      </c>
    </row>
    <row r="215" spans="5:9" x14ac:dyDescent="0.2">
      <c r="E215">
        <f>E214+256</f>
        <v>1130</v>
      </c>
      <c r="G215">
        <v>1</v>
      </c>
      <c r="H215">
        <v>1</v>
      </c>
    </row>
    <row r="217" spans="5:9" x14ac:dyDescent="0.2">
      <c r="E217">
        <f>CODE(F217)</f>
        <v>107</v>
      </c>
      <c r="F217" t="s">
        <v>52</v>
      </c>
      <c r="G217">
        <v>1</v>
      </c>
    </row>
    <row r="218" spans="5:9" x14ac:dyDescent="0.2">
      <c r="E218">
        <f>E217+256</f>
        <v>363</v>
      </c>
      <c r="F218">
        <v>1</v>
      </c>
      <c r="G218">
        <v>1</v>
      </c>
    </row>
    <row r="219" spans="5:9" x14ac:dyDescent="0.2">
      <c r="E219">
        <f>E218+256</f>
        <v>619</v>
      </c>
      <c r="F219">
        <v>3</v>
      </c>
      <c r="G219">
        <v>1</v>
      </c>
      <c r="I219">
        <v>1</v>
      </c>
    </row>
    <row r="220" spans="5:9" x14ac:dyDescent="0.2">
      <c r="E220">
        <f>E219+256</f>
        <v>875</v>
      </c>
      <c r="F220">
        <v>0</v>
      </c>
      <c r="G220">
        <v>1</v>
      </c>
      <c r="H220">
        <v>1</v>
      </c>
    </row>
    <row r="221" spans="5:9" x14ac:dyDescent="0.2">
      <c r="E221">
        <f>E220+256</f>
        <v>1131</v>
      </c>
      <c r="G221">
        <v>1</v>
      </c>
      <c r="I221">
        <v>1</v>
      </c>
    </row>
    <row r="223" spans="5:9" x14ac:dyDescent="0.2">
      <c r="E223">
        <f>CODE(F223)</f>
        <v>108</v>
      </c>
      <c r="F223" t="s">
        <v>53</v>
      </c>
      <c r="G223">
        <v>1</v>
      </c>
      <c r="H223">
        <v>1</v>
      </c>
    </row>
    <row r="224" spans="5:9" x14ac:dyDescent="0.2">
      <c r="E224">
        <f>E223+256</f>
        <v>364</v>
      </c>
      <c r="F224">
        <v>1</v>
      </c>
      <c r="H224">
        <v>1</v>
      </c>
    </row>
    <row r="225" spans="5:11" x14ac:dyDescent="0.2">
      <c r="E225">
        <f>E224+256</f>
        <v>620</v>
      </c>
      <c r="F225">
        <v>2</v>
      </c>
      <c r="H225">
        <v>1</v>
      </c>
    </row>
    <row r="226" spans="5:11" x14ac:dyDescent="0.2">
      <c r="E226">
        <f>E225+256</f>
        <v>876</v>
      </c>
      <c r="F226">
        <v>0</v>
      </c>
      <c r="H226">
        <v>1</v>
      </c>
    </row>
    <row r="227" spans="5:11" x14ac:dyDescent="0.2">
      <c r="E227">
        <f>E226+256</f>
        <v>1132</v>
      </c>
      <c r="H227">
        <v>1</v>
      </c>
    </row>
    <row r="229" spans="5:11" x14ac:dyDescent="0.2">
      <c r="E229">
        <f>CODE(F229)</f>
        <v>109</v>
      </c>
      <c r="F229" t="s">
        <v>54</v>
      </c>
    </row>
    <row r="230" spans="5:11" x14ac:dyDescent="0.2">
      <c r="E230">
        <f>E229+256</f>
        <v>365</v>
      </c>
      <c r="F230">
        <v>1</v>
      </c>
      <c r="G230">
        <v>1</v>
      </c>
      <c r="H230">
        <v>1</v>
      </c>
      <c r="J230">
        <v>1</v>
      </c>
    </row>
    <row r="231" spans="5:11" x14ac:dyDescent="0.2">
      <c r="E231">
        <f>E230+256</f>
        <v>621</v>
      </c>
      <c r="F231">
        <v>5</v>
      </c>
      <c r="G231">
        <v>1</v>
      </c>
      <c r="I231">
        <v>1</v>
      </c>
      <c r="K231">
        <v>1</v>
      </c>
    </row>
    <row r="232" spans="5:11" x14ac:dyDescent="0.2">
      <c r="E232">
        <f>E231+256</f>
        <v>877</v>
      </c>
      <c r="F232">
        <v>0</v>
      </c>
      <c r="G232">
        <v>1</v>
      </c>
      <c r="I232">
        <v>1</v>
      </c>
      <c r="K232">
        <v>1</v>
      </c>
    </row>
    <row r="233" spans="5:11" x14ac:dyDescent="0.2">
      <c r="E233">
        <f>E232+256</f>
        <v>1133</v>
      </c>
      <c r="G233">
        <v>1</v>
      </c>
      <c r="K233">
        <v>1</v>
      </c>
    </row>
    <row r="235" spans="5:11" x14ac:dyDescent="0.2">
      <c r="E235">
        <f>CODE(F235)</f>
        <v>110</v>
      </c>
      <c r="F235" t="s">
        <v>55</v>
      </c>
    </row>
    <row r="236" spans="5:11" x14ac:dyDescent="0.2">
      <c r="E236">
        <f>E235+256</f>
        <v>366</v>
      </c>
      <c r="F236">
        <v>1</v>
      </c>
      <c r="G236">
        <v>1</v>
      </c>
      <c r="H236">
        <v>1</v>
      </c>
    </row>
    <row r="237" spans="5:11" x14ac:dyDescent="0.2">
      <c r="E237">
        <f>E236+256</f>
        <v>622</v>
      </c>
      <c r="F237">
        <v>3</v>
      </c>
      <c r="G237">
        <v>1</v>
      </c>
      <c r="I237">
        <v>1</v>
      </c>
    </row>
    <row r="238" spans="5:11" x14ac:dyDescent="0.2">
      <c r="E238">
        <f>E237+256</f>
        <v>878</v>
      </c>
      <c r="F238">
        <v>0</v>
      </c>
      <c r="G238">
        <v>1</v>
      </c>
      <c r="I238">
        <v>1</v>
      </c>
    </row>
    <row r="239" spans="5:11" x14ac:dyDescent="0.2">
      <c r="E239">
        <f>E238+256</f>
        <v>1134</v>
      </c>
      <c r="G239">
        <v>1</v>
      </c>
      <c r="I239">
        <v>1</v>
      </c>
    </row>
    <row r="241" spans="5:9" x14ac:dyDescent="0.2">
      <c r="E241">
        <f>CODE(F241)</f>
        <v>111</v>
      </c>
      <c r="F241" t="s">
        <v>56</v>
      </c>
    </row>
    <row r="242" spans="5:9" x14ac:dyDescent="0.2">
      <c r="E242">
        <f>E241+256</f>
        <v>367</v>
      </c>
      <c r="F242">
        <v>1</v>
      </c>
      <c r="H242">
        <v>1</v>
      </c>
    </row>
    <row r="243" spans="5:9" x14ac:dyDescent="0.2">
      <c r="E243">
        <f>E242+256</f>
        <v>623</v>
      </c>
      <c r="F243">
        <v>3</v>
      </c>
      <c r="G243">
        <v>1</v>
      </c>
      <c r="I243">
        <v>1</v>
      </c>
    </row>
    <row r="244" spans="5:9" x14ac:dyDescent="0.2">
      <c r="E244">
        <f>E243+256</f>
        <v>879</v>
      </c>
      <c r="F244">
        <v>0</v>
      </c>
      <c r="G244">
        <v>1</v>
      </c>
      <c r="I244">
        <v>1</v>
      </c>
    </row>
    <row r="245" spans="5:9" x14ac:dyDescent="0.2">
      <c r="E245">
        <f>E244+256</f>
        <v>1135</v>
      </c>
      <c r="H245">
        <v>1</v>
      </c>
    </row>
    <row r="247" spans="5:9" x14ac:dyDescent="0.2">
      <c r="E247">
        <f>CODE(F247)</f>
        <v>112</v>
      </c>
      <c r="F247" t="s">
        <v>57</v>
      </c>
      <c r="G247">
        <v>1</v>
      </c>
      <c r="H247">
        <v>1</v>
      </c>
    </row>
    <row r="248" spans="5:9" x14ac:dyDescent="0.2">
      <c r="E248">
        <f>E247+256</f>
        <v>368</v>
      </c>
      <c r="F248">
        <v>1</v>
      </c>
      <c r="G248">
        <v>1</v>
      </c>
      <c r="I248">
        <v>1</v>
      </c>
    </row>
    <row r="249" spans="5:9" x14ac:dyDescent="0.2">
      <c r="E249">
        <f>E248+256</f>
        <v>624</v>
      </c>
      <c r="F249">
        <v>3</v>
      </c>
      <c r="G249">
        <v>1</v>
      </c>
      <c r="I249">
        <v>1</v>
      </c>
    </row>
    <row r="250" spans="5:9" x14ac:dyDescent="0.2">
      <c r="E250">
        <f>E249+256</f>
        <v>880</v>
      </c>
      <c r="F250">
        <v>0</v>
      </c>
      <c r="G250">
        <v>1</v>
      </c>
      <c r="H250">
        <v>1</v>
      </c>
    </row>
    <row r="251" spans="5:9" x14ac:dyDescent="0.2">
      <c r="E251">
        <f>E250+256</f>
        <v>1136</v>
      </c>
      <c r="G251">
        <v>1</v>
      </c>
    </row>
    <row r="253" spans="5:9" x14ac:dyDescent="0.2">
      <c r="E253">
        <f>CODE(F253)</f>
        <v>113</v>
      </c>
      <c r="F253" t="s">
        <v>58</v>
      </c>
      <c r="H253">
        <v>1</v>
      </c>
      <c r="I253">
        <v>1</v>
      </c>
    </row>
    <row r="254" spans="5:9" x14ac:dyDescent="0.2">
      <c r="E254">
        <f>E253+256</f>
        <v>369</v>
      </c>
      <c r="F254">
        <v>1</v>
      </c>
      <c r="G254">
        <v>1</v>
      </c>
      <c r="I254">
        <v>1</v>
      </c>
    </row>
    <row r="255" spans="5:9" x14ac:dyDescent="0.2">
      <c r="E255">
        <f>E254+256</f>
        <v>625</v>
      </c>
      <c r="F255">
        <v>4</v>
      </c>
      <c r="G255">
        <v>1</v>
      </c>
      <c r="I255">
        <v>1</v>
      </c>
    </row>
    <row r="256" spans="5:9" x14ac:dyDescent="0.2">
      <c r="E256">
        <f>E255+256</f>
        <v>881</v>
      </c>
      <c r="F256">
        <v>0</v>
      </c>
      <c r="H256">
        <v>1</v>
      </c>
      <c r="I256">
        <v>1</v>
      </c>
    </row>
    <row r="257" spans="5:10" x14ac:dyDescent="0.2">
      <c r="E257">
        <f>E256+256</f>
        <v>1137</v>
      </c>
      <c r="I257">
        <v>1</v>
      </c>
      <c r="J257">
        <v>1</v>
      </c>
    </row>
    <row r="259" spans="5:10" x14ac:dyDescent="0.2">
      <c r="E259">
        <f>CODE(F259)</f>
        <v>114</v>
      </c>
      <c r="F259" t="s">
        <v>59</v>
      </c>
      <c r="G259">
        <v>1</v>
      </c>
      <c r="I259">
        <v>1</v>
      </c>
    </row>
    <row r="260" spans="5:10" x14ac:dyDescent="0.2">
      <c r="E260">
        <f>E259+256</f>
        <v>370</v>
      </c>
      <c r="F260">
        <v>1</v>
      </c>
      <c r="G260">
        <v>1</v>
      </c>
      <c r="H260">
        <v>1</v>
      </c>
    </row>
    <row r="261" spans="5:10" x14ac:dyDescent="0.2">
      <c r="E261">
        <f>E260+256</f>
        <v>626</v>
      </c>
      <c r="F261">
        <v>3</v>
      </c>
      <c r="G261">
        <v>1</v>
      </c>
    </row>
    <row r="262" spans="5:10" x14ac:dyDescent="0.2">
      <c r="E262">
        <f>E261+256</f>
        <v>882</v>
      </c>
      <c r="F262">
        <v>0</v>
      </c>
      <c r="G262">
        <v>1</v>
      </c>
    </row>
    <row r="263" spans="5:10" x14ac:dyDescent="0.2">
      <c r="E263">
        <f>E262+256</f>
        <v>1138</v>
      </c>
      <c r="G263">
        <v>1</v>
      </c>
    </row>
    <row r="265" spans="5:10" x14ac:dyDescent="0.2">
      <c r="E265">
        <f>CODE(F265)</f>
        <v>115</v>
      </c>
      <c r="F265" t="s">
        <v>60</v>
      </c>
    </row>
    <row r="266" spans="5:10" x14ac:dyDescent="0.2">
      <c r="E266">
        <f>E265+256</f>
        <v>371</v>
      </c>
      <c r="F266">
        <v>1</v>
      </c>
      <c r="G266">
        <v>1</v>
      </c>
      <c r="H266">
        <v>1</v>
      </c>
    </row>
    <row r="267" spans="5:10" x14ac:dyDescent="0.2">
      <c r="E267">
        <f>E266+256</f>
        <v>627</v>
      </c>
      <c r="F267">
        <v>2</v>
      </c>
      <c r="G267">
        <v>1</v>
      </c>
    </row>
    <row r="268" spans="5:10" x14ac:dyDescent="0.2">
      <c r="E268">
        <f>E267+256</f>
        <v>883</v>
      </c>
      <c r="F268">
        <v>0</v>
      </c>
      <c r="H268">
        <v>1</v>
      </c>
    </row>
    <row r="269" spans="5:10" x14ac:dyDescent="0.2">
      <c r="E269">
        <f>E268+256</f>
        <v>1139</v>
      </c>
      <c r="G269">
        <v>1</v>
      </c>
      <c r="H269">
        <v>1</v>
      </c>
    </row>
    <row r="271" spans="5:10" x14ac:dyDescent="0.2">
      <c r="E271">
        <f>CODE(F271)</f>
        <v>116</v>
      </c>
      <c r="F271" t="s">
        <v>61</v>
      </c>
      <c r="G271">
        <v>1</v>
      </c>
    </row>
    <row r="272" spans="5:10" x14ac:dyDescent="0.2">
      <c r="E272">
        <f>E271+256</f>
        <v>372</v>
      </c>
      <c r="F272">
        <v>1</v>
      </c>
      <c r="G272">
        <v>1</v>
      </c>
      <c r="H272">
        <v>1</v>
      </c>
    </row>
    <row r="273" spans="5:9" x14ac:dyDescent="0.2">
      <c r="E273">
        <f>E272+256</f>
        <v>628</v>
      </c>
      <c r="F273">
        <v>2</v>
      </c>
      <c r="G273">
        <v>1</v>
      </c>
    </row>
    <row r="274" spans="5:9" x14ac:dyDescent="0.2">
      <c r="E274">
        <f>E273+256</f>
        <v>884</v>
      </c>
      <c r="F274">
        <v>0</v>
      </c>
      <c r="G274">
        <v>1</v>
      </c>
    </row>
    <row r="275" spans="5:9" x14ac:dyDescent="0.2">
      <c r="E275">
        <f>E274+256</f>
        <v>1140</v>
      </c>
      <c r="H275">
        <v>1</v>
      </c>
    </row>
    <row r="277" spans="5:9" x14ac:dyDescent="0.2">
      <c r="E277">
        <f>CODE(F277)</f>
        <v>117</v>
      </c>
      <c r="F277" t="s">
        <v>62</v>
      </c>
    </row>
    <row r="278" spans="5:9" x14ac:dyDescent="0.2">
      <c r="E278">
        <f>E277+256</f>
        <v>373</v>
      </c>
      <c r="F278">
        <v>1</v>
      </c>
      <c r="G278">
        <v>1</v>
      </c>
      <c r="I278">
        <v>1</v>
      </c>
    </row>
    <row r="279" spans="5:9" x14ac:dyDescent="0.2">
      <c r="E279">
        <f>E278+256</f>
        <v>629</v>
      </c>
      <c r="F279">
        <v>3</v>
      </c>
      <c r="G279">
        <v>1</v>
      </c>
      <c r="I279">
        <v>1</v>
      </c>
    </row>
    <row r="280" spans="5:9" x14ac:dyDescent="0.2">
      <c r="E280">
        <f>E279+256</f>
        <v>885</v>
      </c>
      <c r="F280">
        <v>0</v>
      </c>
      <c r="G280">
        <v>1</v>
      </c>
      <c r="I280">
        <v>1</v>
      </c>
    </row>
    <row r="281" spans="5:9" x14ac:dyDescent="0.2">
      <c r="E281">
        <f>E280+256</f>
        <v>1141</v>
      </c>
      <c r="G281">
        <v>1</v>
      </c>
      <c r="H281">
        <v>1</v>
      </c>
      <c r="I281">
        <v>1</v>
      </c>
    </row>
    <row r="283" spans="5:9" x14ac:dyDescent="0.2">
      <c r="E283">
        <f>CODE(F283)</f>
        <v>118</v>
      </c>
      <c r="F283" t="s">
        <v>63</v>
      </c>
    </row>
    <row r="284" spans="5:9" x14ac:dyDescent="0.2">
      <c r="E284">
        <f>E283+256</f>
        <v>374</v>
      </c>
      <c r="F284">
        <v>1</v>
      </c>
      <c r="G284">
        <v>1</v>
      </c>
      <c r="I284">
        <v>1</v>
      </c>
    </row>
    <row r="285" spans="5:9" x14ac:dyDescent="0.2">
      <c r="E285">
        <f>E284+256</f>
        <v>630</v>
      </c>
      <c r="F285">
        <v>3</v>
      </c>
      <c r="G285">
        <v>1</v>
      </c>
      <c r="I285">
        <v>1</v>
      </c>
    </row>
    <row r="286" spans="5:9" x14ac:dyDescent="0.2">
      <c r="E286">
        <f>E285+256</f>
        <v>886</v>
      </c>
      <c r="F286">
        <v>0</v>
      </c>
      <c r="H286">
        <v>1</v>
      </c>
    </row>
    <row r="287" spans="5:9" x14ac:dyDescent="0.2">
      <c r="E287">
        <f>E286+256</f>
        <v>1142</v>
      </c>
      <c r="H287">
        <v>1</v>
      </c>
    </row>
    <row r="289" spans="5:11" x14ac:dyDescent="0.2">
      <c r="E289">
        <f>CODE(F289)</f>
        <v>119</v>
      </c>
      <c r="F289" t="s">
        <v>64</v>
      </c>
    </row>
    <row r="290" spans="5:11" x14ac:dyDescent="0.2">
      <c r="E290">
        <f>E289+256</f>
        <v>375</v>
      </c>
      <c r="F290">
        <v>1</v>
      </c>
      <c r="G290">
        <v>1</v>
      </c>
      <c r="K290">
        <v>1</v>
      </c>
    </row>
    <row r="291" spans="5:11" x14ac:dyDescent="0.2">
      <c r="E291">
        <f>E290+256</f>
        <v>631</v>
      </c>
      <c r="F291">
        <v>5</v>
      </c>
      <c r="G291">
        <v>1</v>
      </c>
      <c r="I291">
        <v>1</v>
      </c>
      <c r="K291">
        <v>1</v>
      </c>
    </row>
    <row r="292" spans="5:11" x14ac:dyDescent="0.2">
      <c r="E292">
        <f>E291+256</f>
        <v>887</v>
      </c>
      <c r="F292">
        <v>0</v>
      </c>
      <c r="G292">
        <v>1</v>
      </c>
      <c r="I292">
        <v>1</v>
      </c>
      <c r="K292">
        <v>1</v>
      </c>
    </row>
    <row r="293" spans="5:11" x14ac:dyDescent="0.2">
      <c r="E293">
        <f>E292+256</f>
        <v>1143</v>
      </c>
      <c r="H293">
        <v>1</v>
      </c>
      <c r="J293">
        <v>1</v>
      </c>
    </row>
    <row r="295" spans="5:11" x14ac:dyDescent="0.2">
      <c r="E295">
        <f>CODE(F295)</f>
        <v>120</v>
      </c>
      <c r="F295" t="s">
        <v>65</v>
      </c>
    </row>
    <row r="296" spans="5:11" x14ac:dyDescent="0.2">
      <c r="E296">
        <f>E295+256</f>
        <v>376</v>
      </c>
      <c r="F296">
        <v>1</v>
      </c>
      <c r="G296">
        <v>1</v>
      </c>
      <c r="I296">
        <v>1</v>
      </c>
    </row>
    <row r="297" spans="5:11" x14ac:dyDescent="0.2">
      <c r="E297">
        <f>E296+256</f>
        <v>632</v>
      </c>
      <c r="F297">
        <v>3</v>
      </c>
      <c r="H297">
        <v>1</v>
      </c>
    </row>
    <row r="298" spans="5:11" x14ac:dyDescent="0.2">
      <c r="E298">
        <f>E297+256</f>
        <v>888</v>
      </c>
      <c r="F298">
        <v>0</v>
      </c>
      <c r="H298">
        <v>1</v>
      </c>
    </row>
    <row r="299" spans="5:11" x14ac:dyDescent="0.2">
      <c r="E299">
        <f>E298+256</f>
        <v>1144</v>
      </c>
      <c r="G299">
        <v>1</v>
      </c>
      <c r="I299">
        <v>1</v>
      </c>
    </row>
    <row r="301" spans="5:11" x14ac:dyDescent="0.2">
      <c r="E301">
        <f>CODE(F301)</f>
        <v>121</v>
      </c>
      <c r="F301" t="s">
        <v>66</v>
      </c>
      <c r="G301">
        <v>1</v>
      </c>
      <c r="I301">
        <v>1</v>
      </c>
    </row>
    <row r="302" spans="5:11" x14ac:dyDescent="0.2">
      <c r="E302">
        <f>E301+256</f>
        <v>377</v>
      </c>
      <c r="F302">
        <v>1</v>
      </c>
      <c r="G302">
        <v>1</v>
      </c>
      <c r="I302">
        <v>1</v>
      </c>
    </row>
    <row r="303" spans="5:11" x14ac:dyDescent="0.2">
      <c r="E303">
        <f>E302+256</f>
        <v>633</v>
      </c>
      <c r="F303">
        <v>3</v>
      </c>
      <c r="G303">
        <v>1</v>
      </c>
      <c r="I303">
        <v>1</v>
      </c>
    </row>
    <row r="304" spans="5:11" x14ac:dyDescent="0.2">
      <c r="E304">
        <f>E303+256</f>
        <v>889</v>
      </c>
      <c r="F304">
        <v>0</v>
      </c>
      <c r="H304">
        <v>1</v>
      </c>
    </row>
    <row r="305" spans="5:10" x14ac:dyDescent="0.2">
      <c r="E305">
        <f>E304+256</f>
        <v>1145</v>
      </c>
      <c r="G305">
        <v>1</v>
      </c>
    </row>
    <row r="307" spans="5:10" x14ac:dyDescent="0.2">
      <c r="E307">
        <f>CODE(F307)</f>
        <v>122</v>
      </c>
      <c r="F307" t="s">
        <v>67</v>
      </c>
    </row>
    <row r="308" spans="5:10" x14ac:dyDescent="0.2">
      <c r="E308">
        <f>E307+256</f>
        <v>378</v>
      </c>
      <c r="F308">
        <v>1</v>
      </c>
      <c r="G308">
        <v>1</v>
      </c>
      <c r="H308">
        <v>1</v>
      </c>
      <c r="I308">
        <v>1</v>
      </c>
      <c r="J308">
        <v>1</v>
      </c>
    </row>
    <row r="309" spans="5:10" x14ac:dyDescent="0.2">
      <c r="E309">
        <f>E308+256</f>
        <v>634</v>
      </c>
      <c r="F309">
        <v>4</v>
      </c>
      <c r="I309">
        <v>1</v>
      </c>
    </row>
    <row r="310" spans="5:10" x14ac:dyDescent="0.2">
      <c r="E310">
        <f>E309+256</f>
        <v>890</v>
      </c>
      <c r="F310">
        <v>0</v>
      </c>
      <c r="H310">
        <v>1</v>
      </c>
    </row>
    <row r="311" spans="5:10" x14ac:dyDescent="0.2">
      <c r="E311">
        <f>E310+256</f>
        <v>1146</v>
      </c>
      <c r="G311">
        <v>1</v>
      </c>
      <c r="H311">
        <v>1</v>
      </c>
      <c r="I311">
        <v>1</v>
      </c>
      <c r="J311">
        <v>1</v>
      </c>
    </row>
    <row r="313" spans="5:10" x14ac:dyDescent="0.2">
      <c r="E313">
        <f>CODE(F313)</f>
        <v>32</v>
      </c>
      <c r="F313" t="s">
        <v>21</v>
      </c>
    </row>
    <row r="314" spans="5:10" x14ac:dyDescent="0.2">
      <c r="E314">
        <f>E313+256</f>
        <v>288</v>
      </c>
      <c r="F314">
        <v>1</v>
      </c>
    </row>
    <row r="315" spans="5:10" x14ac:dyDescent="0.2">
      <c r="E315">
        <f>E314+256</f>
        <v>544</v>
      </c>
      <c r="F315">
        <v>0</v>
      </c>
    </row>
    <row r="316" spans="5:10" x14ac:dyDescent="0.2">
      <c r="E316">
        <f>E315+256</f>
        <v>800</v>
      </c>
      <c r="F316">
        <v>0</v>
      </c>
    </row>
    <row r="317" spans="5:10" x14ac:dyDescent="0.2">
      <c r="E317">
        <f>E316+256</f>
        <v>1056</v>
      </c>
    </row>
    <row r="319" spans="5:10" x14ac:dyDescent="0.2">
      <c r="E319">
        <f>CODE(F319)</f>
        <v>49</v>
      </c>
      <c r="F319">
        <v>1</v>
      </c>
      <c r="H319">
        <v>1</v>
      </c>
    </row>
    <row r="320" spans="5:10" x14ac:dyDescent="0.2">
      <c r="E320">
        <f>E319+256</f>
        <v>305</v>
      </c>
      <c r="F320">
        <v>1</v>
      </c>
      <c r="G320">
        <v>1</v>
      </c>
      <c r="H320">
        <v>1</v>
      </c>
    </row>
    <row r="321" spans="5:9" x14ac:dyDescent="0.2">
      <c r="E321">
        <f>E320+256</f>
        <v>561</v>
      </c>
      <c r="F321">
        <v>3</v>
      </c>
      <c r="H321">
        <v>1</v>
      </c>
    </row>
    <row r="322" spans="5:9" x14ac:dyDescent="0.2">
      <c r="E322">
        <f>E321+256</f>
        <v>817</v>
      </c>
      <c r="F322">
        <v>0</v>
      </c>
      <c r="H322">
        <v>1</v>
      </c>
    </row>
    <row r="323" spans="5:9" x14ac:dyDescent="0.2">
      <c r="E323">
        <f>E322+256</f>
        <v>1073</v>
      </c>
      <c r="G323">
        <v>1</v>
      </c>
      <c r="H323">
        <v>1</v>
      </c>
      <c r="I323">
        <v>1</v>
      </c>
    </row>
    <row r="325" spans="5:9" x14ac:dyDescent="0.2">
      <c r="E325">
        <f>CODE(F325)</f>
        <v>50</v>
      </c>
      <c r="F325">
        <v>2</v>
      </c>
      <c r="G325">
        <v>1</v>
      </c>
      <c r="H325">
        <v>1</v>
      </c>
    </row>
    <row r="326" spans="5:9" x14ac:dyDescent="0.2">
      <c r="E326">
        <f>E325+256</f>
        <v>306</v>
      </c>
      <c r="F326">
        <v>1</v>
      </c>
      <c r="I326">
        <v>1</v>
      </c>
    </row>
    <row r="327" spans="5:9" x14ac:dyDescent="0.2">
      <c r="E327">
        <f>E326+256</f>
        <v>562</v>
      </c>
      <c r="F327">
        <v>3</v>
      </c>
      <c r="H327">
        <v>1</v>
      </c>
    </row>
    <row r="328" spans="5:9" x14ac:dyDescent="0.2">
      <c r="E328">
        <f>E327+256</f>
        <v>818</v>
      </c>
      <c r="F328">
        <v>0</v>
      </c>
      <c r="G328">
        <v>1</v>
      </c>
    </row>
    <row r="329" spans="5:9" x14ac:dyDescent="0.2">
      <c r="E329">
        <f>E328+256</f>
        <v>1074</v>
      </c>
      <c r="G329">
        <v>1</v>
      </c>
      <c r="H329">
        <v>1</v>
      </c>
      <c r="I329">
        <v>1</v>
      </c>
    </row>
    <row r="331" spans="5:9" x14ac:dyDescent="0.2">
      <c r="E331">
        <f>CODE(F331)</f>
        <v>51</v>
      </c>
      <c r="F331">
        <v>3</v>
      </c>
      <c r="G331">
        <v>1</v>
      </c>
      <c r="H331">
        <v>1</v>
      </c>
    </row>
    <row r="332" spans="5:9" x14ac:dyDescent="0.2">
      <c r="E332">
        <f>E331+256</f>
        <v>307</v>
      </c>
      <c r="F332">
        <v>1</v>
      </c>
      <c r="I332">
        <v>1</v>
      </c>
    </row>
    <row r="333" spans="5:9" x14ac:dyDescent="0.2">
      <c r="E333">
        <f>E332+256</f>
        <v>563</v>
      </c>
      <c r="F333">
        <v>3</v>
      </c>
      <c r="H333">
        <v>1</v>
      </c>
    </row>
    <row r="334" spans="5:9" x14ac:dyDescent="0.2">
      <c r="E334">
        <f>E333+256</f>
        <v>819</v>
      </c>
      <c r="F334">
        <v>0</v>
      </c>
      <c r="I334">
        <v>1</v>
      </c>
    </row>
    <row r="335" spans="5:9" x14ac:dyDescent="0.2">
      <c r="E335">
        <f>E334+256</f>
        <v>1075</v>
      </c>
      <c r="G335">
        <v>1</v>
      </c>
      <c r="H335">
        <v>1</v>
      </c>
    </row>
    <row r="337" spans="5:9" x14ac:dyDescent="0.2">
      <c r="E337">
        <f>CODE(F337)</f>
        <v>52</v>
      </c>
      <c r="F337">
        <v>4</v>
      </c>
      <c r="G337">
        <v>1</v>
      </c>
    </row>
    <row r="338" spans="5:9" x14ac:dyDescent="0.2">
      <c r="E338">
        <f>E337+256</f>
        <v>308</v>
      </c>
      <c r="F338">
        <v>1</v>
      </c>
      <c r="G338">
        <v>1</v>
      </c>
      <c r="I338">
        <v>1</v>
      </c>
    </row>
    <row r="339" spans="5:9" x14ac:dyDescent="0.2">
      <c r="E339">
        <f>E338+256</f>
        <v>564</v>
      </c>
      <c r="F339">
        <v>3</v>
      </c>
      <c r="G339">
        <v>1</v>
      </c>
      <c r="H339">
        <v>1</v>
      </c>
      <c r="I339">
        <v>1</v>
      </c>
    </row>
    <row r="340" spans="5:9" x14ac:dyDescent="0.2">
      <c r="E340">
        <f>E339+256</f>
        <v>820</v>
      </c>
      <c r="F340">
        <v>0</v>
      </c>
      <c r="I340">
        <v>1</v>
      </c>
    </row>
    <row r="341" spans="5:9" x14ac:dyDescent="0.2">
      <c r="E341">
        <f>E340+256</f>
        <v>1076</v>
      </c>
      <c r="I341">
        <v>1</v>
      </c>
    </row>
    <row r="343" spans="5:9" x14ac:dyDescent="0.2">
      <c r="E343">
        <f>CODE(F343)</f>
        <v>53</v>
      </c>
      <c r="F343">
        <v>5</v>
      </c>
      <c r="G343">
        <v>1</v>
      </c>
      <c r="H343">
        <v>1</v>
      </c>
      <c r="I343">
        <v>1</v>
      </c>
    </row>
    <row r="344" spans="5:9" x14ac:dyDescent="0.2">
      <c r="E344">
        <f>E343+256</f>
        <v>309</v>
      </c>
      <c r="F344">
        <v>1</v>
      </c>
      <c r="G344">
        <v>1</v>
      </c>
    </row>
    <row r="345" spans="5:9" x14ac:dyDescent="0.2">
      <c r="E345">
        <f>E344+256</f>
        <v>565</v>
      </c>
      <c r="F345">
        <v>3</v>
      </c>
      <c r="G345">
        <v>1</v>
      </c>
      <c r="H345">
        <v>1</v>
      </c>
    </row>
    <row r="346" spans="5:9" x14ac:dyDescent="0.2">
      <c r="E346">
        <f>E345+256</f>
        <v>821</v>
      </c>
      <c r="F346">
        <v>0</v>
      </c>
      <c r="I346">
        <v>1</v>
      </c>
    </row>
    <row r="347" spans="5:9" x14ac:dyDescent="0.2">
      <c r="E347">
        <f>E346+256</f>
        <v>1077</v>
      </c>
      <c r="G347">
        <v>1</v>
      </c>
      <c r="H347">
        <v>1</v>
      </c>
    </row>
    <row r="349" spans="5:9" x14ac:dyDescent="0.2">
      <c r="E349">
        <f>CODE(F349)</f>
        <v>54</v>
      </c>
      <c r="F349">
        <v>6</v>
      </c>
      <c r="H349">
        <v>1</v>
      </c>
      <c r="I349">
        <v>1</v>
      </c>
    </row>
    <row r="350" spans="5:9" x14ac:dyDescent="0.2">
      <c r="E350">
        <f>E349+256</f>
        <v>310</v>
      </c>
      <c r="F350">
        <v>1</v>
      </c>
      <c r="G350">
        <v>1</v>
      </c>
    </row>
    <row r="351" spans="5:9" x14ac:dyDescent="0.2">
      <c r="E351">
        <f>E350+256</f>
        <v>566</v>
      </c>
      <c r="F351">
        <v>3</v>
      </c>
      <c r="G351">
        <v>1</v>
      </c>
      <c r="H351">
        <v>1</v>
      </c>
      <c r="I351">
        <v>1</v>
      </c>
    </row>
    <row r="352" spans="5:9" x14ac:dyDescent="0.2">
      <c r="E352">
        <f>E351+256</f>
        <v>822</v>
      </c>
      <c r="F352">
        <v>0</v>
      </c>
      <c r="G352">
        <v>1</v>
      </c>
      <c r="I352">
        <v>1</v>
      </c>
    </row>
    <row r="353" spans="5:9" x14ac:dyDescent="0.2">
      <c r="E353">
        <f>E352+256</f>
        <v>1078</v>
      </c>
      <c r="G353">
        <v>1</v>
      </c>
      <c r="H353">
        <v>1</v>
      </c>
      <c r="I353">
        <v>1</v>
      </c>
    </row>
    <row r="355" spans="5:9" x14ac:dyDescent="0.2">
      <c r="E355">
        <f>CODE(F355)</f>
        <v>55</v>
      </c>
      <c r="F355">
        <v>7</v>
      </c>
      <c r="G355">
        <v>1</v>
      </c>
      <c r="H355">
        <v>1</v>
      </c>
      <c r="I355">
        <v>1</v>
      </c>
    </row>
    <row r="356" spans="5:9" x14ac:dyDescent="0.2">
      <c r="E356">
        <f>E355+256</f>
        <v>311</v>
      </c>
      <c r="F356">
        <v>1</v>
      </c>
      <c r="I356">
        <v>1</v>
      </c>
    </row>
    <row r="357" spans="5:9" x14ac:dyDescent="0.2">
      <c r="E357">
        <f>E356+256</f>
        <v>567</v>
      </c>
      <c r="F357">
        <v>3</v>
      </c>
      <c r="H357">
        <v>1</v>
      </c>
    </row>
    <row r="358" spans="5:9" x14ac:dyDescent="0.2">
      <c r="E358">
        <f>E357+256</f>
        <v>823</v>
      </c>
      <c r="F358">
        <v>0</v>
      </c>
      <c r="G358">
        <v>1</v>
      </c>
    </row>
    <row r="359" spans="5:9" x14ac:dyDescent="0.2">
      <c r="E359">
        <f>E358+256</f>
        <v>1079</v>
      </c>
      <c r="G359">
        <v>1</v>
      </c>
    </row>
    <row r="361" spans="5:9" x14ac:dyDescent="0.2">
      <c r="E361">
        <f>CODE(F361)</f>
        <v>56</v>
      </c>
      <c r="F361">
        <v>8</v>
      </c>
      <c r="G361">
        <v>1</v>
      </c>
      <c r="H361">
        <v>1</v>
      </c>
      <c r="I361">
        <v>1</v>
      </c>
    </row>
    <row r="362" spans="5:9" x14ac:dyDescent="0.2">
      <c r="E362">
        <f>E361+256</f>
        <v>312</v>
      </c>
      <c r="F362">
        <v>1</v>
      </c>
      <c r="G362">
        <v>1</v>
      </c>
      <c r="I362">
        <v>1</v>
      </c>
    </row>
    <row r="363" spans="5:9" x14ac:dyDescent="0.2">
      <c r="E363">
        <f>E362+256</f>
        <v>568</v>
      </c>
      <c r="F363">
        <v>3</v>
      </c>
      <c r="G363">
        <v>1</v>
      </c>
      <c r="H363">
        <v>1</v>
      </c>
      <c r="I363">
        <v>1</v>
      </c>
    </row>
    <row r="364" spans="5:9" x14ac:dyDescent="0.2">
      <c r="E364">
        <f>E363+256</f>
        <v>824</v>
      </c>
      <c r="F364">
        <v>0</v>
      </c>
      <c r="G364">
        <v>1</v>
      </c>
      <c r="I364">
        <v>1</v>
      </c>
    </row>
    <row r="365" spans="5:9" x14ac:dyDescent="0.2">
      <c r="E365">
        <f>E364+256</f>
        <v>1080</v>
      </c>
      <c r="G365">
        <v>1</v>
      </c>
      <c r="H365">
        <v>1</v>
      </c>
      <c r="I365">
        <v>1</v>
      </c>
    </row>
    <row r="367" spans="5:9" x14ac:dyDescent="0.2">
      <c r="E367">
        <f>CODE(F367)</f>
        <v>57</v>
      </c>
      <c r="F367">
        <v>9</v>
      </c>
      <c r="G367">
        <v>1</v>
      </c>
      <c r="H367">
        <v>1</v>
      </c>
      <c r="I367">
        <v>1</v>
      </c>
    </row>
    <row r="368" spans="5:9" x14ac:dyDescent="0.2">
      <c r="E368">
        <f>E367+256</f>
        <v>313</v>
      </c>
      <c r="F368">
        <v>1</v>
      </c>
      <c r="G368">
        <v>1</v>
      </c>
      <c r="I368">
        <v>1</v>
      </c>
    </row>
    <row r="369" spans="5:9" x14ac:dyDescent="0.2">
      <c r="E369">
        <f>E368+256</f>
        <v>569</v>
      </c>
      <c r="F369">
        <v>3</v>
      </c>
      <c r="G369">
        <v>1</v>
      </c>
      <c r="H369">
        <v>1</v>
      </c>
      <c r="I369">
        <v>1</v>
      </c>
    </row>
    <row r="370" spans="5:9" x14ac:dyDescent="0.2">
      <c r="E370">
        <f>E369+256</f>
        <v>825</v>
      </c>
      <c r="F370">
        <v>0</v>
      </c>
      <c r="I370">
        <v>1</v>
      </c>
    </row>
    <row r="371" spans="5:9" x14ac:dyDescent="0.2">
      <c r="E371">
        <f>E370+256</f>
        <v>1081</v>
      </c>
      <c r="G371">
        <v>1</v>
      </c>
      <c r="H371">
        <v>1</v>
      </c>
    </row>
    <row r="373" spans="5:9" x14ac:dyDescent="0.2">
      <c r="E373">
        <f>CODE(F373)</f>
        <v>48</v>
      </c>
      <c r="F373">
        <v>0</v>
      </c>
      <c r="G373">
        <v>1</v>
      </c>
      <c r="H373">
        <v>1</v>
      </c>
      <c r="I373">
        <v>1</v>
      </c>
    </row>
    <row r="374" spans="5:9" x14ac:dyDescent="0.2">
      <c r="E374">
        <f>E373+256</f>
        <v>304</v>
      </c>
      <c r="F374">
        <v>1</v>
      </c>
      <c r="G374">
        <v>1</v>
      </c>
      <c r="I374">
        <v>1</v>
      </c>
    </row>
    <row r="375" spans="5:9" x14ac:dyDescent="0.2">
      <c r="E375">
        <f>E374+256</f>
        <v>560</v>
      </c>
      <c r="F375">
        <v>3</v>
      </c>
      <c r="G375">
        <v>1</v>
      </c>
      <c r="I375">
        <v>1</v>
      </c>
    </row>
    <row r="376" spans="5:9" x14ac:dyDescent="0.2">
      <c r="E376">
        <f>E375+256</f>
        <v>816</v>
      </c>
      <c r="F376">
        <v>0</v>
      </c>
      <c r="G376">
        <v>1</v>
      </c>
      <c r="I376">
        <v>1</v>
      </c>
    </row>
    <row r="377" spans="5:9" x14ac:dyDescent="0.2">
      <c r="E377">
        <f>E376+256</f>
        <v>1072</v>
      </c>
      <c r="G377">
        <v>1</v>
      </c>
      <c r="H377">
        <v>1</v>
      </c>
      <c r="I377">
        <v>1</v>
      </c>
    </row>
    <row r="379" spans="5:9" x14ac:dyDescent="0.2">
      <c r="E379">
        <f>CODE(F379)</f>
        <v>46</v>
      </c>
      <c r="F379" t="s">
        <v>68</v>
      </c>
    </row>
    <row r="380" spans="5:9" x14ac:dyDescent="0.2">
      <c r="E380">
        <f>E379+256</f>
        <v>302</v>
      </c>
      <c r="F380">
        <v>1</v>
      </c>
    </row>
    <row r="381" spans="5:9" x14ac:dyDescent="0.2">
      <c r="E381">
        <f>E380+256</f>
        <v>558</v>
      </c>
      <c r="F381">
        <v>1</v>
      </c>
    </row>
    <row r="382" spans="5:9" x14ac:dyDescent="0.2">
      <c r="E382">
        <f>E381+256</f>
        <v>814</v>
      </c>
      <c r="F382">
        <v>0</v>
      </c>
    </row>
    <row r="383" spans="5:9" x14ac:dyDescent="0.2">
      <c r="E383">
        <f>E382+256</f>
        <v>1070</v>
      </c>
      <c r="G383">
        <v>1</v>
      </c>
    </row>
    <row r="385" spans="5:8" x14ac:dyDescent="0.2">
      <c r="E385">
        <f>CODE(F385)</f>
        <v>58</v>
      </c>
      <c r="F385" t="s">
        <v>69</v>
      </c>
    </row>
    <row r="386" spans="5:8" x14ac:dyDescent="0.2">
      <c r="E386">
        <f>E385+256</f>
        <v>314</v>
      </c>
      <c r="F386">
        <v>1</v>
      </c>
      <c r="G386">
        <v>1</v>
      </c>
    </row>
    <row r="387" spans="5:8" x14ac:dyDescent="0.2">
      <c r="E387">
        <f>E386+256</f>
        <v>570</v>
      </c>
      <c r="F387">
        <v>1</v>
      </c>
    </row>
    <row r="388" spans="5:8" x14ac:dyDescent="0.2">
      <c r="E388">
        <f>E387+256</f>
        <v>826</v>
      </c>
      <c r="F388">
        <v>0</v>
      </c>
      <c r="G388">
        <v>1</v>
      </c>
    </row>
    <row r="389" spans="5:8" x14ac:dyDescent="0.2">
      <c r="E389">
        <f>E388+256</f>
        <v>1082</v>
      </c>
    </row>
    <row r="391" spans="5:8" x14ac:dyDescent="0.2">
      <c r="E391">
        <f>CODE(F391)</f>
        <v>59</v>
      </c>
      <c r="F391" t="s">
        <v>70</v>
      </c>
    </row>
    <row r="392" spans="5:8" x14ac:dyDescent="0.2">
      <c r="E392">
        <f>E391+256</f>
        <v>315</v>
      </c>
      <c r="F392">
        <v>1</v>
      </c>
      <c r="H392">
        <v>1</v>
      </c>
    </row>
    <row r="393" spans="5:8" x14ac:dyDescent="0.2">
      <c r="E393">
        <f>E392+256</f>
        <v>571</v>
      </c>
      <c r="F393">
        <v>2</v>
      </c>
    </row>
    <row r="394" spans="5:8" x14ac:dyDescent="0.2">
      <c r="E394">
        <f>E393+256</f>
        <v>827</v>
      </c>
      <c r="F394">
        <v>0</v>
      </c>
      <c r="H394">
        <v>1</v>
      </c>
    </row>
    <row r="395" spans="5:8" x14ac:dyDescent="0.2">
      <c r="E395">
        <f>E394+256</f>
        <v>1083</v>
      </c>
      <c r="G395">
        <v>1</v>
      </c>
    </row>
    <row r="397" spans="5:8" x14ac:dyDescent="0.2">
      <c r="E397">
        <f>CODE(F397)</f>
        <v>44</v>
      </c>
      <c r="F397" t="s">
        <v>71</v>
      </c>
    </row>
    <row r="398" spans="5:8" x14ac:dyDescent="0.2">
      <c r="E398">
        <f>E397+256</f>
        <v>300</v>
      </c>
      <c r="F398">
        <v>1</v>
      </c>
    </row>
    <row r="399" spans="5:8" x14ac:dyDescent="0.2">
      <c r="E399">
        <f>E398+256</f>
        <v>556</v>
      </c>
      <c r="F399">
        <v>2</v>
      </c>
      <c r="H399">
        <v>1</v>
      </c>
    </row>
    <row r="400" spans="5:8" x14ac:dyDescent="0.2">
      <c r="E400">
        <f>E399+256</f>
        <v>812</v>
      </c>
      <c r="F400">
        <v>0</v>
      </c>
      <c r="H400">
        <v>1</v>
      </c>
    </row>
    <row r="401" spans="5:9" x14ac:dyDescent="0.2">
      <c r="E401">
        <f>E400+256</f>
        <v>1068</v>
      </c>
      <c r="G401">
        <v>1</v>
      </c>
    </row>
    <row r="403" spans="5:9" x14ac:dyDescent="0.2">
      <c r="E403">
        <f>CODE(F403)</f>
        <v>39</v>
      </c>
      <c r="F403" s="13" t="s">
        <v>72</v>
      </c>
      <c r="G403">
        <v>1</v>
      </c>
    </row>
    <row r="404" spans="5:9" x14ac:dyDescent="0.2">
      <c r="E404">
        <f>E403+256</f>
        <v>295</v>
      </c>
      <c r="F404">
        <v>1</v>
      </c>
      <c r="G404">
        <v>1</v>
      </c>
    </row>
    <row r="405" spans="5:9" x14ac:dyDescent="0.2">
      <c r="E405">
        <f>E404+256</f>
        <v>551</v>
      </c>
      <c r="F405">
        <v>1</v>
      </c>
      <c r="G405">
        <v>1</v>
      </c>
    </row>
    <row r="406" spans="5:9" x14ac:dyDescent="0.2">
      <c r="E406">
        <f>E405+256</f>
        <v>807</v>
      </c>
      <c r="F406">
        <v>0</v>
      </c>
    </row>
    <row r="407" spans="5:9" x14ac:dyDescent="0.2">
      <c r="E407">
        <f>E406+256</f>
        <v>1063</v>
      </c>
    </row>
    <row r="409" spans="5:9" x14ac:dyDescent="0.2">
      <c r="E409">
        <f>CODE(F409)</f>
        <v>34</v>
      </c>
      <c r="F409" t="s">
        <v>73</v>
      </c>
      <c r="G409">
        <v>1</v>
      </c>
      <c r="I409">
        <v>1</v>
      </c>
    </row>
    <row r="410" spans="5:9" x14ac:dyDescent="0.2">
      <c r="E410">
        <f>E409+256</f>
        <v>290</v>
      </c>
      <c r="F410">
        <v>1</v>
      </c>
      <c r="G410">
        <v>1</v>
      </c>
      <c r="I410">
        <v>1</v>
      </c>
    </row>
    <row r="411" spans="5:9" x14ac:dyDescent="0.2">
      <c r="E411">
        <f>E410+256</f>
        <v>546</v>
      </c>
      <c r="F411">
        <v>3</v>
      </c>
      <c r="G411">
        <v>1</v>
      </c>
      <c r="I411">
        <v>1</v>
      </c>
    </row>
    <row r="412" spans="5:9" x14ac:dyDescent="0.2">
      <c r="E412">
        <f>E411+256</f>
        <v>802</v>
      </c>
      <c r="F412">
        <v>0</v>
      </c>
    </row>
    <row r="413" spans="5:9" x14ac:dyDescent="0.2">
      <c r="E413">
        <f>E412+256</f>
        <v>1058</v>
      </c>
    </row>
    <row r="415" spans="5:9" x14ac:dyDescent="0.2">
      <c r="E415">
        <f>CODE(F415)</f>
        <v>40</v>
      </c>
      <c r="F415" t="s">
        <v>74</v>
      </c>
      <c r="H415">
        <v>1</v>
      </c>
    </row>
    <row r="416" spans="5:9" x14ac:dyDescent="0.2">
      <c r="E416">
        <f>E415+256</f>
        <v>296</v>
      </c>
      <c r="F416">
        <v>1</v>
      </c>
      <c r="G416">
        <v>1</v>
      </c>
    </row>
    <row r="417" spans="5:9" x14ac:dyDescent="0.2">
      <c r="E417">
        <f>E416+256</f>
        <v>552</v>
      </c>
      <c r="F417">
        <v>2</v>
      </c>
      <c r="G417">
        <v>1</v>
      </c>
    </row>
    <row r="418" spans="5:9" x14ac:dyDescent="0.2">
      <c r="E418">
        <f>E417+256</f>
        <v>808</v>
      </c>
      <c r="F418">
        <v>0</v>
      </c>
      <c r="G418">
        <v>1</v>
      </c>
    </row>
    <row r="419" spans="5:9" x14ac:dyDescent="0.2">
      <c r="E419">
        <f>E418+256</f>
        <v>1064</v>
      </c>
      <c r="H419">
        <v>1</v>
      </c>
    </row>
    <row r="421" spans="5:9" x14ac:dyDescent="0.2">
      <c r="E421">
        <f>CODE(F421)</f>
        <v>33</v>
      </c>
      <c r="F421" t="s">
        <v>75</v>
      </c>
      <c r="G421">
        <v>1</v>
      </c>
    </row>
    <row r="422" spans="5:9" x14ac:dyDescent="0.2">
      <c r="E422">
        <f>E421+256</f>
        <v>289</v>
      </c>
      <c r="F422">
        <v>1</v>
      </c>
      <c r="G422">
        <v>1</v>
      </c>
    </row>
    <row r="423" spans="5:9" x14ac:dyDescent="0.2">
      <c r="E423">
        <f>E422+256</f>
        <v>545</v>
      </c>
      <c r="F423">
        <v>1</v>
      </c>
      <c r="G423">
        <v>1</v>
      </c>
    </row>
    <row r="424" spans="5:9" x14ac:dyDescent="0.2">
      <c r="E424">
        <f>E423+256</f>
        <v>801</v>
      </c>
      <c r="F424">
        <v>0</v>
      </c>
    </row>
    <row r="425" spans="5:9" x14ac:dyDescent="0.2">
      <c r="E425">
        <f>E424+256</f>
        <v>1057</v>
      </c>
      <c r="G425">
        <v>1</v>
      </c>
    </row>
    <row r="427" spans="5:9" x14ac:dyDescent="0.2">
      <c r="E427">
        <f>CODE(F427)</f>
        <v>63</v>
      </c>
      <c r="F427" t="s">
        <v>76</v>
      </c>
      <c r="G427">
        <v>1</v>
      </c>
      <c r="H427">
        <v>1</v>
      </c>
    </row>
    <row r="428" spans="5:9" x14ac:dyDescent="0.2">
      <c r="E428">
        <f>E427+256</f>
        <v>319</v>
      </c>
      <c r="F428">
        <v>1</v>
      </c>
      <c r="I428">
        <v>1</v>
      </c>
    </row>
    <row r="429" spans="5:9" x14ac:dyDescent="0.2">
      <c r="E429">
        <f>E428+256</f>
        <v>575</v>
      </c>
      <c r="F429">
        <v>3</v>
      </c>
      <c r="H429">
        <v>1</v>
      </c>
    </row>
    <row r="430" spans="5:9" x14ac:dyDescent="0.2">
      <c r="E430">
        <f>E429+256</f>
        <v>831</v>
      </c>
      <c r="F430">
        <v>0</v>
      </c>
    </row>
    <row r="431" spans="5:9" x14ac:dyDescent="0.2">
      <c r="E431">
        <f>E430+256</f>
        <v>1087</v>
      </c>
      <c r="H431">
        <v>1</v>
      </c>
    </row>
    <row r="433" spans="5:9" x14ac:dyDescent="0.2">
      <c r="E433">
        <f>CODE(F433)</f>
        <v>41</v>
      </c>
      <c r="F433" t="s">
        <v>77</v>
      </c>
      <c r="G433">
        <v>1</v>
      </c>
    </row>
    <row r="434" spans="5:9" x14ac:dyDescent="0.2">
      <c r="E434">
        <f>E433+256</f>
        <v>297</v>
      </c>
      <c r="F434">
        <v>1</v>
      </c>
      <c r="H434">
        <v>1</v>
      </c>
    </row>
    <row r="435" spans="5:9" x14ac:dyDescent="0.2">
      <c r="E435">
        <f>E434+256</f>
        <v>553</v>
      </c>
      <c r="F435">
        <v>2</v>
      </c>
      <c r="H435">
        <v>1</v>
      </c>
    </row>
    <row r="436" spans="5:9" x14ac:dyDescent="0.2">
      <c r="E436">
        <f>E435+256</f>
        <v>809</v>
      </c>
      <c r="F436">
        <v>0</v>
      </c>
      <c r="H436">
        <v>1</v>
      </c>
    </row>
    <row r="437" spans="5:9" x14ac:dyDescent="0.2">
      <c r="E437">
        <f>E436+256</f>
        <v>1065</v>
      </c>
      <c r="G437">
        <v>1</v>
      </c>
    </row>
    <row r="439" spans="5:9" x14ac:dyDescent="0.2">
      <c r="E439">
        <f>CODE(F439)</f>
        <v>43</v>
      </c>
      <c r="F439" s="13" t="s">
        <v>78</v>
      </c>
    </row>
    <row r="440" spans="5:9" x14ac:dyDescent="0.2">
      <c r="E440">
        <f>E439+256</f>
        <v>299</v>
      </c>
      <c r="F440">
        <v>1</v>
      </c>
      <c r="H440">
        <v>1</v>
      </c>
    </row>
    <row r="441" spans="5:9" x14ac:dyDescent="0.2">
      <c r="E441">
        <f>E440+256</f>
        <v>555</v>
      </c>
      <c r="F441">
        <v>3</v>
      </c>
      <c r="G441">
        <v>1</v>
      </c>
      <c r="H441">
        <v>1</v>
      </c>
      <c r="I441">
        <v>1</v>
      </c>
    </row>
    <row r="442" spans="5:9" x14ac:dyDescent="0.2">
      <c r="E442">
        <f>E441+256</f>
        <v>811</v>
      </c>
      <c r="F442">
        <v>0</v>
      </c>
      <c r="H442">
        <v>1</v>
      </c>
    </row>
    <row r="443" spans="5:9" x14ac:dyDescent="0.2">
      <c r="E443">
        <f>E442+256</f>
        <v>1067</v>
      </c>
    </row>
    <row r="445" spans="5:9" x14ac:dyDescent="0.2">
      <c r="E445">
        <f>CODE(F445)</f>
        <v>45</v>
      </c>
      <c r="F445" s="13" t="s">
        <v>79</v>
      </c>
    </row>
    <row r="446" spans="5:9" x14ac:dyDescent="0.2">
      <c r="E446">
        <f>E445+256</f>
        <v>301</v>
      </c>
      <c r="F446">
        <v>1</v>
      </c>
    </row>
    <row r="447" spans="5:9" x14ac:dyDescent="0.2">
      <c r="E447">
        <f>E446+256</f>
        <v>557</v>
      </c>
      <c r="F447">
        <v>3</v>
      </c>
      <c r="G447">
        <v>1</v>
      </c>
      <c r="H447">
        <v>1</v>
      </c>
      <c r="I447">
        <v>1</v>
      </c>
    </row>
    <row r="448" spans="5:9" x14ac:dyDescent="0.2">
      <c r="E448">
        <f>E447+256</f>
        <v>813</v>
      </c>
      <c r="F448">
        <v>0</v>
      </c>
    </row>
    <row r="449" spans="5:11" x14ac:dyDescent="0.2">
      <c r="E449">
        <f>E448+256</f>
        <v>1069</v>
      </c>
    </row>
    <row r="451" spans="5:11" x14ac:dyDescent="0.2">
      <c r="E451">
        <f>CODE(F451)</f>
        <v>42</v>
      </c>
      <c r="F451" s="13" t="s">
        <v>80</v>
      </c>
      <c r="I451">
        <v>1</v>
      </c>
    </row>
    <row r="452" spans="5:11" x14ac:dyDescent="0.2">
      <c r="E452">
        <f>E451+256</f>
        <v>298</v>
      </c>
      <c r="F452">
        <v>1</v>
      </c>
      <c r="G452">
        <v>1</v>
      </c>
      <c r="I452">
        <v>1</v>
      </c>
      <c r="K452">
        <v>1</v>
      </c>
    </row>
    <row r="453" spans="5:11" x14ac:dyDescent="0.2">
      <c r="E453">
        <f>E452+256</f>
        <v>554</v>
      </c>
      <c r="F453">
        <v>5</v>
      </c>
      <c r="H453">
        <v>1</v>
      </c>
      <c r="I453">
        <v>1</v>
      </c>
      <c r="J453">
        <v>1</v>
      </c>
    </row>
    <row r="454" spans="5:11" x14ac:dyDescent="0.2">
      <c r="E454">
        <f>E453+256</f>
        <v>810</v>
      </c>
      <c r="F454">
        <v>0</v>
      </c>
      <c r="G454">
        <v>1</v>
      </c>
      <c r="I454">
        <v>1</v>
      </c>
      <c r="K454">
        <v>1</v>
      </c>
    </row>
    <row r="455" spans="5:11" x14ac:dyDescent="0.2">
      <c r="E455">
        <f>E454+256</f>
        <v>1066</v>
      </c>
      <c r="I455">
        <v>1</v>
      </c>
    </row>
    <row r="457" spans="5:11" x14ac:dyDescent="0.2">
      <c r="E457">
        <f>CODE(F457)</f>
        <v>47</v>
      </c>
      <c r="F457" s="13" t="s">
        <v>81</v>
      </c>
      <c r="I457">
        <v>1</v>
      </c>
    </row>
    <row r="458" spans="5:11" x14ac:dyDescent="0.2">
      <c r="E458">
        <f>E457+256</f>
        <v>303</v>
      </c>
      <c r="F458">
        <v>1</v>
      </c>
      <c r="I458">
        <v>1</v>
      </c>
    </row>
    <row r="459" spans="5:11" x14ac:dyDescent="0.2">
      <c r="E459">
        <f>E458+256</f>
        <v>559</v>
      </c>
      <c r="F459">
        <v>3</v>
      </c>
      <c r="H459">
        <v>1</v>
      </c>
    </row>
    <row r="460" spans="5:11" x14ac:dyDescent="0.2">
      <c r="E460">
        <f>E459+256</f>
        <v>815</v>
      </c>
      <c r="F460">
        <v>0</v>
      </c>
      <c r="G460">
        <v>1</v>
      </c>
    </row>
    <row r="461" spans="5:11" x14ac:dyDescent="0.2">
      <c r="E461">
        <f>E460+256</f>
        <v>1071</v>
      </c>
      <c r="G461">
        <v>1</v>
      </c>
    </row>
    <row r="463" spans="5:11" x14ac:dyDescent="0.2">
      <c r="E463">
        <f>CODE(F463)</f>
        <v>61</v>
      </c>
      <c r="F463" s="13" t="s">
        <v>82</v>
      </c>
    </row>
    <row r="464" spans="5:11" x14ac:dyDescent="0.2">
      <c r="E464">
        <f>E463+256</f>
        <v>317</v>
      </c>
      <c r="F464">
        <v>1</v>
      </c>
      <c r="G464">
        <v>1</v>
      </c>
      <c r="H464">
        <v>1</v>
      </c>
      <c r="I464">
        <v>1</v>
      </c>
    </row>
    <row r="465" spans="5:9" x14ac:dyDescent="0.2">
      <c r="E465">
        <f>E464+256</f>
        <v>573</v>
      </c>
      <c r="F465">
        <v>3</v>
      </c>
    </row>
    <row r="466" spans="5:9" x14ac:dyDescent="0.2">
      <c r="E466">
        <f>E465+256</f>
        <v>829</v>
      </c>
      <c r="F466">
        <v>0</v>
      </c>
      <c r="G466">
        <v>1</v>
      </c>
      <c r="H466">
        <v>1</v>
      </c>
      <c r="I466">
        <v>1</v>
      </c>
    </row>
    <row r="467" spans="5:9" x14ac:dyDescent="0.2">
      <c r="E467">
        <f>E466+256</f>
        <v>1085</v>
      </c>
    </row>
    <row r="469" spans="5:9" x14ac:dyDescent="0.2">
      <c r="E469">
        <f>CODE(F469)</f>
        <v>124</v>
      </c>
      <c r="F469" t="s">
        <v>83</v>
      </c>
      <c r="G469">
        <v>1</v>
      </c>
    </row>
    <row r="470" spans="5:9" x14ac:dyDescent="0.2">
      <c r="E470">
        <f>E469+256</f>
        <v>380</v>
      </c>
      <c r="F470">
        <v>1</v>
      </c>
      <c r="G470">
        <v>1</v>
      </c>
    </row>
    <row r="471" spans="5:9" x14ac:dyDescent="0.2">
      <c r="E471">
        <f>E470+256</f>
        <v>636</v>
      </c>
      <c r="F471">
        <v>1</v>
      </c>
      <c r="G471">
        <v>1</v>
      </c>
    </row>
    <row r="472" spans="5:9" x14ac:dyDescent="0.2">
      <c r="E472">
        <f>E471+256</f>
        <v>892</v>
      </c>
      <c r="F472">
        <v>0</v>
      </c>
      <c r="G472">
        <v>1</v>
      </c>
    </row>
    <row r="473" spans="5:9" x14ac:dyDescent="0.2">
      <c r="E473">
        <f>E472+256</f>
        <v>1148</v>
      </c>
      <c r="G473">
        <v>1</v>
      </c>
    </row>
    <row r="475" spans="5:9" x14ac:dyDescent="0.2">
      <c r="E475">
        <f>CODE(F475)</f>
        <v>92</v>
      </c>
      <c r="F475" t="s">
        <v>84</v>
      </c>
      <c r="G475">
        <v>1</v>
      </c>
    </row>
    <row r="476" spans="5:9" x14ac:dyDescent="0.2">
      <c r="E476">
        <f>E475+256</f>
        <v>348</v>
      </c>
      <c r="F476">
        <v>1</v>
      </c>
      <c r="G476">
        <v>1</v>
      </c>
    </row>
    <row r="477" spans="5:9" x14ac:dyDescent="0.2">
      <c r="E477">
        <f>E476+256</f>
        <v>604</v>
      </c>
      <c r="F477">
        <v>3</v>
      </c>
      <c r="H477">
        <v>1</v>
      </c>
    </row>
    <row r="478" spans="5:9" x14ac:dyDescent="0.2">
      <c r="E478">
        <f>E477+256</f>
        <v>860</v>
      </c>
      <c r="F478">
        <v>0</v>
      </c>
      <c r="I478">
        <v>1</v>
      </c>
    </row>
    <row r="479" spans="5:9" x14ac:dyDescent="0.2">
      <c r="E479">
        <f>E478+256</f>
        <v>1116</v>
      </c>
      <c r="I479">
        <v>1</v>
      </c>
    </row>
    <row r="481" spans="5:9" x14ac:dyDescent="0.2">
      <c r="E481">
        <f>CODE(F481)</f>
        <v>60</v>
      </c>
      <c r="F481" t="s">
        <v>85</v>
      </c>
      <c r="I481">
        <v>1</v>
      </c>
    </row>
    <row r="482" spans="5:9" x14ac:dyDescent="0.2">
      <c r="E482">
        <f>E481+256</f>
        <v>316</v>
      </c>
      <c r="F482">
        <v>1</v>
      </c>
      <c r="H482">
        <v>1</v>
      </c>
    </row>
    <row r="483" spans="5:9" x14ac:dyDescent="0.2">
      <c r="E483">
        <f>E482+256</f>
        <v>572</v>
      </c>
      <c r="F483">
        <v>3</v>
      </c>
      <c r="G483">
        <v>1</v>
      </c>
    </row>
    <row r="484" spans="5:9" x14ac:dyDescent="0.2">
      <c r="E484">
        <f>E483+256</f>
        <v>828</v>
      </c>
      <c r="F484">
        <v>0</v>
      </c>
      <c r="H484">
        <v>1</v>
      </c>
    </row>
    <row r="485" spans="5:9" x14ac:dyDescent="0.2">
      <c r="E485">
        <f>E484+256</f>
        <v>1084</v>
      </c>
      <c r="I485">
        <v>1</v>
      </c>
    </row>
    <row r="487" spans="5:9" x14ac:dyDescent="0.2">
      <c r="E487">
        <f>CODE(F487)</f>
        <v>95</v>
      </c>
      <c r="F487" t="s">
        <v>86</v>
      </c>
    </row>
    <row r="488" spans="5:9" x14ac:dyDescent="0.2">
      <c r="E488">
        <f>E487+256</f>
        <v>351</v>
      </c>
      <c r="F488">
        <v>1</v>
      </c>
    </row>
    <row r="489" spans="5:9" x14ac:dyDescent="0.2">
      <c r="E489">
        <f>E488+256</f>
        <v>607</v>
      </c>
      <c r="F489">
        <v>3</v>
      </c>
    </row>
    <row r="490" spans="5:9" x14ac:dyDescent="0.2">
      <c r="E490">
        <f>E489+256</f>
        <v>863</v>
      </c>
      <c r="F490">
        <v>0</v>
      </c>
    </row>
    <row r="491" spans="5:9" x14ac:dyDescent="0.2">
      <c r="E491">
        <f>E490+256</f>
        <v>1119</v>
      </c>
      <c r="G491">
        <v>1</v>
      </c>
      <c r="H491">
        <v>1</v>
      </c>
      <c r="I491">
        <v>1</v>
      </c>
    </row>
    <row r="493" spans="5:9" x14ac:dyDescent="0.2">
      <c r="E493">
        <f>CODE(F493)</f>
        <v>62</v>
      </c>
      <c r="F493" t="s">
        <v>87</v>
      </c>
      <c r="G493">
        <v>1</v>
      </c>
    </row>
    <row r="494" spans="5:9" x14ac:dyDescent="0.2">
      <c r="E494">
        <f>E493+256</f>
        <v>318</v>
      </c>
      <c r="F494">
        <v>1</v>
      </c>
      <c r="H494">
        <v>1</v>
      </c>
    </row>
    <row r="495" spans="5:9" x14ac:dyDescent="0.2">
      <c r="E495">
        <f>E494+256</f>
        <v>574</v>
      </c>
      <c r="F495">
        <v>3</v>
      </c>
      <c r="I495">
        <v>1</v>
      </c>
    </row>
    <row r="496" spans="5:9" x14ac:dyDescent="0.2">
      <c r="E496">
        <f>E495+256</f>
        <v>830</v>
      </c>
      <c r="F496">
        <v>0</v>
      </c>
      <c r="H496">
        <v>1</v>
      </c>
    </row>
    <row r="497" spans="5:11" x14ac:dyDescent="0.2">
      <c r="E497">
        <f>E496+256</f>
        <v>1086</v>
      </c>
      <c r="G497">
        <v>1</v>
      </c>
    </row>
    <row r="499" spans="5:11" x14ac:dyDescent="0.2">
      <c r="E499">
        <f>CODE(RIGHT(F499,1))+5*256</f>
        <v>1380</v>
      </c>
      <c r="F499" s="13" t="s">
        <v>128</v>
      </c>
      <c r="I499">
        <v>1</v>
      </c>
    </row>
    <row r="500" spans="5:11" x14ac:dyDescent="0.2">
      <c r="E500">
        <f>E499+256</f>
        <v>1636</v>
      </c>
      <c r="F500">
        <v>0</v>
      </c>
      <c r="H500">
        <v>1</v>
      </c>
      <c r="I500">
        <v>1</v>
      </c>
      <c r="J500">
        <v>1</v>
      </c>
    </row>
    <row r="501" spans="5:11" x14ac:dyDescent="0.2">
      <c r="E501">
        <f>E500+256</f>
        <v>1892</v>
      </c>
      <c r="F501">
        <v>5</v>
      </c>
      <c r="G501">
        <v>1</v>
      </c>
      <c r="H501">
        <v>1</v>
      </c>
      <c r="I501">
        <v>1</v>
      </c>
      <c r="J501">
        <v>1</v>
      </c>
      <c r="K501">
        <v>1</v>
      </c>
    </row>
    <row r="502" spans="5:11" x14ac:dyDescent="0.2">
      <c r="E502">
        <f>E501+256</f>
        <v>2148</v>
      </c>
      <c r="F502">
        <v>0</v>
      </c>
      <c r="H502">
        <v>1</v>
      </c>
      <c r="I502">
        <v>1</v>
      </c>
      <c r="J502">
        <v>1</v>
      </c>
    </row>
    <row r="503" spans="5:11" x14ac:dyDescent="0.2">
      <c r="E503">
        <f>E502+256</f>
        <v>2404</v>
      </c>
      <c r="I503">
        <v>1</v>
      </c>
    </row>
    <row r="505" spans="5:11" x14ac:dyDescent="0.2">
      <c r="E505">
        <f>CODE(RIGHT(F505,1))+5*256</f>
        <v>1379</v>
      </c>
      <c r="F505" s="13" t="s">
        <v>129</v>
      </c>
      <c r="G505">
        <v>1</v>
      </c>
      <c r="K505">
        <v>1</v>
      </c>
    </row>
    <row r="506" spans="5:11" x14ac:dyDescent="0.2">
      <c r="E506">
        <f>E505+256</f>
        <v>1635</v>
      </c>
      <c r="F506">
        <v>0</v>
      </c>
      <c r="H506">
        <v>1</v>
      </c>
      <c r="J506">
        <v>1</v>
      </c>
    </row>
    <row r="507" spans="5:11" x14ac:dyDescent="0.2">
      <c r="E507">
        <f>E506+256</f>
        <v>1891</v>
      </c>
      <c r="F507">
        <v>5</v>
      </c>
      <c r="I507">
        <v>1</v>
      </c>
    </row>
    <row r="508" spans="5:11" x14ac:dyDescent="0.2">
      <c r="E508">
        <f>E507+256</f>
        <v>2147</v>
      </c>
      <c r="F508">
        <v>0</v>
      </c>
      <c r="H508">
        <v>1</v>
      </c>
      <c r="J508">
        <v>1</v>
      </c>
    </row>
    <row r="509" spans="5:11" x14ac:dyDescent="0.2">
      <c r="E509">
        <f>E508+256</f>
        <v>2403</v>
      </c>
      <c r="G509">
        <v>1</v>
      </c>
      <c r="K509">
        <v>1</v>
      </c>
    </row>
    <row r="511" spans="5:11" x14ac:dyDescent="0.2">
      <c r="E511">
        <f>CODE(RIGHT(F511,1))+5*256</f>
        <v>1378</v>
      </c>
      <c r="F511" s="13" t="s">
        <v>88</v>
      </c>
      <c r="G511">
        <v>1</v>
      </c>
      <c r="H511">
        <v>1</v>
      </c>
      <c r="I511">
        <v>1</v>
      </c>
    </row>
    <row r="512" spans="5:11" x14ac:dyDescent="0.2">
      <c r="E512">
        <f>E511+256</f>
        <v>1634</v>
      </c>
      <c r="F512">
        <v>0</v>
      </c>
      <c r="G512">
        <v>1</v>
      </c>
      <c r="H512">
        <v>1</v>
      </c>
      <c r="I512">
        <v>1</v>
      </c>
    </row>
    <row r="513" spans="5:9" x14ac:dyDescent="0.2">
      <c r="E513">
        <f>E512+256</f>
        <v>1890</v>
      </c>
      <c r="F513">
        <v>3</v>
      </c>
      <c r="G513">
        <v>1</v>
      </c>
      <c r="H513">
        <v>1</v>
      </c>
      <c r="I513">
        <v>1</v>
      </c>
    </row>
    <row r="514" spans="5:9" x14ac:dyDescent="0.2">
      <c r="E514">
        <f>E513+256</f>
        <v>2146</v>
      </c>
      <c r="F514">
        <v>0</v>
      </c>
      <c r="G514">
        <v>1</v>
      </c>
      <c r="H514">
        <v>1</v>
      </c>
      <c r="I514">
        <v>1</v>
      </c>
    </row>
    <row r="515" spans="5:9" x14ac:dyDescent="0.2">
      <c r="E515">
        <f>E514+256</f>
        <v>2402</v>
      </c>
      <c r="G515">
        <v>1</v>
      </c>
      <c r="H515">
        <v>1</v>
      </c>
      <c r="I515">
        <v>1</v>
      </c>
    </row>
    <row r="517" spans="5:9" x14ac:dyDescent="0.2">
      <c r="E517">
        <f>CODE(RIGHT(F517,1))+5*256</f>
        <v>1388</v>
      </c>
      <c r="F517" s="13" t="s">
        <v>89</v>
      </c>
      <c r="G517">
        <v>1</v>
      </c>
    </row>
    <row r="518" spans="5:9" x14ac:dyDescent="0.2">
      <c r="E518">
        <f>E517+256</f>
        <v>1644</v>
      </c>
      <c r="F518">
        <v>0</v>
      </c>
      <c r="G518">
        <v>1</v>
      </c>
    </row>
    <row r="519" spans="5:9" x14ac:dyDescent="0.2">
      <c r="E519">
        <f>E518+256</f>
        <v>1900</v>
      </c>
      <c r="F519">
        <v>1</v>
      </c>
      <c r="G519">
        <v>1</v>
      </c>
    </row>
    <row r="520" spans="5:9" x14ac:dyDescent="0.2">
      <c r="E520">
        <f>E519+256</f>
        <v>2156</v>
      </c>
      <c r="F520">
        <v>0</v>
      </c>
      <c r="G520">
        <v>1</v>
      </c>
    </row>
    <row r="521" spans="5:9" x14ac:dyDescent="0.2">
      <c r="E521">
        <f>E520+256</f>
        <v>2412</v>
      </c>
      <c r="G521">
        <v>1</v>
      </c>
    </row>
    <row r="523" spans="5:9" x14ac:dyDescent="0.2">
      <c r="E523">
        <f>CODE(F523)</f>
        <v>91</v>
      </c>
      <c r="F523" t="s">
        <v>8</v>
      </c>
      <c r="G523">
        <v>1</v>
      </c>
      <c r="H523">
        <v>1</v>
      </c>
    </row>
    <row r="524" spans="5:9" x14ac:dyDescent="0.2">
      <c r="E524">
        <f>E523+256</f>
        <v>347</v>
      </c>
      <c r="F524">
        <v>1</v>
      </c>
      <c r="H524">
        <v>1</v>
      </c>
    </row>
    <row r="525" spans="5:9" x14ac:dyDescent="0.2">
      <c r="E525">
        <f>E524+256</f>
        <v>603</v>
      </c>
      <c r="F525">
        <v>2</v>
      </c>
      <c r="H525">
        <v>1</v>
      </c>
    </row>
    <row r="526" spans="5:9" x14ac:dyDescent="0.2">
      <c r="E526">
        <f>E525+256</f>
        <v>859</v>
      </c>
      <c r="F526">
        <v>0</v>
      </c>
      <c r="H526">
        <v>1</v>
      </c>
    </row>
    <row r="527" spans="5:9" x14ac:dyDescent="0.2">
      <c r="E527">
        <f>E526+256</f>
        <v>1115</v>
      </c>
      <c r="G527">
        <v>1</v>
      </c>
      <c r="H527">
        <v>1</v>
      </c>
    </row>
    <row r="529" spans="5:8" x14ac:dyDescent="0.2">
      <c r="E529">
        <f>CODE(F529)</f>
        <v>91</v>
      </c>
      <c r="F529" t="s">
        <v>8</v>
      </c>
      <c r="G529">
        <v>1</v>
      </c>
      <c r="H529">
        <v>1</v>
      </c>
    </row>
    <row r="530" spans="5:8" x14ac:dyDescent="0.2">
      <c r="E530">
        <f>E529+256</f>
        <v>347</v>
      </c>
      <c r="F530">
        <v>1</v>
      </c>
      <c r="G530">
        <v>1</v>
      </c>
    </row>
    <row r="531" spans="5:8" x14ac:dyDescent="0.2">
      <c r="E531">
        <f>E530+256</f>
        <v>603</v>
      </c>
      <c r="F531">
        <v>2</v>
      </c>
      <c r="G531">
        <v>1</v>
      </c>
    </row>
    <row r="532" spans="5:8" x14ac:dyDescent="0.2">
      <c r="E532">
        <f>E531+256</f>
        <v>859</v>
      </c>
      <c r="F532">
        <v>0</v>
      </c>
      <c r="G532">
        <v>1</v>
      </c>
    </row>
    <row r="533" spans="5:8" x14ac:dyDescent="0.2">
      <c r="E533">
        <f>E532+256</f>
        <v>1115</v>
      </c>
      <c r="G533">
        <v>1</v>
      </c>
      <c r="H533">
        <v>1</v>
      </c>
    </row>
  </sheetData>
  <phoneticPr fontId="3" type="noConversion"/>
  <conditionalFormatting sqref="G534:K661 M498:M524 G319:I473 G475:I479 G481:I491 G493:I497 G499:I503 J500:J502 K501 G505:K509 G511:K515 G517:K521 J140:J142 J139:K139 J229:K233 J257 H290:K293 H294:I306 G523:I533 G312:I317 G307:K311 K312 J453 K454 K452 L1:L534 J124 J80:K80 K81:K83 J74:K74 K75:K79 K73 K121:K125 G2:G306 H133:K137 H138:I289 I1:I132 K2 G1:H1 H2:H132">
    <cfRule type="cellIs" dxfId="28" priority="4" stopIfTrue="1" operator="equal">
      <formula>1</formula>
    </cfRule>
  </conditionalFormatting>
  <pageMargins left="0.74803149606299213" right="0.74803149606299213" top="0.98425196850393704" bottom="0.98425196850393704" header="0.51181102362204722" footer="0.51181102362204722"/>
  <pageSetup paperSize="9" scale="31"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pageSetUpPr fitToPage="1"/>
  </sheetPr>
  <dimension ref="A1:F70"/>
  <sheetViews>
    <sheetView workbookViewId="0">
      <selection activeCell="B10" sqref="B10"/>
    </sheetView>
  </sheetViews>
  <sheetFormatPr defaultRowHeight="14.25" x14ac:dyDescent="0.2"/>
  <cols>
    <col min="1" max="1" width="20.625" style="12" customWidth="1"/>
    <col min="2" max="2" width="26" customWidth="1"/>
    <col min="3" max="3" width="27.875" bestFit="1" customWidth="1"/>
    <col min="4" max="4" width="25.5" customWidth="1"/>
    <col min="5" max="5" width="32.125" customWidth="1"/>
    <col min="6" max="6" width="27.625" customWidth="1"/>
    <col min="7" max="7" width="40.75" customWidth="1"/>
  </cols>
  <sheetData>
    <row r="1" spans="1:6" x14ac:dyDescent="0.2">
      <c r="A1" s="22" t="s">
        <v>159</v>
      </c>
      <c r="B1" t="s">
        <v>117</v>
      </c>
      <c r="C1" t="s">
        <v>100</v>
      </c>
      <c r="D1" t="s">
        <v>160</v>
      </c>
      <c r="E1" t="s">
        <v>202</v>
      </c>
      <c r="F1" t="s">
        <v>161</v>
      </c>
    </row>
    <row r="2" spans="1:6" s="21" customFormat="1" x14ac:dyDescent="0.2">
      <c r="A2" s="24" t="s">
        <v>42</v>
      </c>
      <c r="D2" s="20"/>
    </row>
    <row r="3" spans="1:6" s="21" customFormat="1" x14ac:dyDescent="0.2">
      <c r="A3" s="24" t="s">
        <v>43</v>
      </c>
      <c r="D3" s="20"/>
    </row>
    <row r="4" spans="1:6" s="21" customFormat="1" x14ac:dyDescent="0.2">
      <c r="A4" s="23" t="s">
        <v>44</v>
      </c>
      <c r="B4" s="21" t="b">
        <v>0</v>
      </c>
      <c r="C4" s="21" t="s">
        <v>102</v>
      </c>
      <c r="D4" s="20" t="s">
        <v>101</v>
      </c>
    </row>
    <row r="5" spans="1:6" s="21" customFormat="1" ht="42.75" x14ac:dyDescent="0.2">
      <c r="A5" s="23" t="s">
        <v>45</v>
      </c>
      <c r="B5" s="21" t="b">
        <v>0</v>
      </c>
      <c r="C5" s="21" t="s">
        <v>127</v>
      </c>
      <c r="D5" s="20" t="s">
        <v>130</v>
      </c>
    </row>
    <row r="6" spans="1:6" s="21" customFormat="1" x14ac:dyDescent="0.2">
      <c r="A6" s="23" t="s">
        <v>46</v>
      </c>
      <c r="B6" s="21" t="s">
        <v>116</v>
      </c>
      <c r="C6" s="21" t="s">
        <v>105</v>
      </c>
      <c r="D6" s="20" t="s">
        <v>99</v>
      </c>
    </row>
    <row r="7" spans="1:6" s="21" customFormat="1" x14ac:dyDescent="0.2">
      <c r="A7" s="23" t="s">
        <v>47</v>
      </c>
      <c r="C7" s="21" t="s">
        <v>43</v>
      </c>
      <c r="D7" s="21" t="s">
        <v>162</v>
      </c>
    </row>
    <row r="8" spans="1:6" s="21" customFormat="1" x14ac:dyDescent="0.2">
      <c r="A8" s="24" t="s">
        <v>48</v>
      </c>
      <c r="D8" s="20"/>
    </row>
    <row r="9" spans="1:6" s="21" customFormat="1" x14ac:dyDescent="0.2">
      <c r="A9" s="24" t="s">
        <v>49</v>
      </c>
      <c r="D9" s="20"/>
    </row>
    <row r="10" spans="1:6" s="21" customFormat="1" x14ac:dyDescent="0.2">
      <c r="A10" s="23" t="s">
        <v>50</v>
      </c>
      <c r="C10" s="21" t="s">
        <v>105</v>
      </c>
      <c r="D10" s="20" t="s">
        <v>106</v>
      </c>
    </row>
    <row r="11" spans="1:6" s="21" customFormat="1" x14ac:dyDescent="0.2">
      <c r="A11" s="24" t="s">
        <v>51</v>
      </c>
      <c r="D11" s="20"/>
    </row>
    <row r="12" spans="1:6" s="21" customFormat="1" ht="42.75" x14ac:dyDescent="0.2">
      <c r="A12" s="23" t="s">
        <v>52</v>
      </c>
      <c r="C12" s="21" t="s">
        <v>105</v>
      </c>
      <c r="D12" s="20" t="s">
        <v>114</v>
      </c>
    </row>
    <row r="13" spans="1:6" s="21" customFormat="1" ht="28.5" x14ac:dyDescent="0.2">
      <c r="A13" s="23" t="s">
        <v>53</v>
      </c>
      <c r="C13" s="21" t="s">
        <v>43</v>
      </c>
      <c r="D13" s="20" t="s">
        <v>163</v>
      </c>
    </row>
    <row r="14" spans="1:6" s="21" customFormat="1" x14ac:dyDescent="0.2">
      <c r="A14" s="24" t="s">
        <v>54</v>
      </c>
      <c r="D14" s="20"/>
    </row>
    <row r="15" spans="1:6" s="21" customFormat="1" x14ac:dyDescent="0.2">
      <c r="A15" s="24" t="s">
        <v>55</v>
      </c>
      <c r="D15" s="20"/>
    </row>
    <row r="16" spans="1:6" s="21" customFormat="1" x14ac:dyDescent="0.2">
      <c r="A16" s="24" t="s">
        <v>56</v>
      </c>
      <c r="D16" s="20"/>
    </row>
    <row r="17" spans="1:4" s="21" customFormat="1" x14ac:dyDescent="0.2">
      <c r="A17" s="23" t="s">
        <v>57</v>
      </c>
      <c r="C17" s="21" t="s">
        <v>127</v>
      </c>
      <c r="D17" s="20" t="s">
        <v>109</v>
      </c>
    </row>
    <row r="18" spans="1:4" s="21" customFormat="1" x14ac:dyDescent="0.2">
      <c r="A18" s="23" t="s">
        <v>58</v>
      </c>
      <c r="D18" s="20"/>
    </row>
    <row r="19" spans="1:4" s="21" customFormat="1" x14ac:dyDescent="0.2">
      <c r="A19" s="23" t="s">
        <v>59</v>
      </c>
      <c r="B19" s="21" t="s">
        <v>116</v>
      </c>
      <c r="C19" s="21" t="s">
        <v>103</v>
      </c>
      <c r="D19" s="20" t="s">
        <v>104</v>
      </c>
    </row>
    <row r="20" spans="1:4" s="21" customFormat="1" x14ac:dyDescent="0.2">
      <c r="A20" s="23" t="s">
        <v>60</v>
      </c>
      <c r="C20" s="21" t="s">
        <v>45</v>
      </c>
      <c r="D20" s="20" t="s">
        <v>2</v>
      </c>
    </row>
    <row r="21" spans="1:4" s="21" customFormat="1" ht="57" x14ac:dyDescent="0.2">
      <c r="A21" s="23" t="s">
        <v>61</v>
      </c>
      <c r="B21" s="21" t="s">
        <v>134</v>
      </c>
      <c r="C21" s="21" t="s">
        <v>132</v>
      </c>
      <c r="D21" s="20" t="s">
        <v>133</v>
      </c>
    </row>
    <row r="22" spans="1:4" s="21" customFormat="1" x14ac:dyDescent="0.2">
      <c r="A22" s="24" t="s">
        <v>62</v>
      </c>
      <c r="D22" s="20"/>
    </row>
    <row r="23" spans="1:4" s="21" customFormat="1" x14ac:dyDescent="0.2">
      <c r="A23" s="24" t="s">
        <v>63</v>
      </c>
      <c r="D23" s="20"/>
    </row>
    <row r="24" spans="1:4" s="21" customFormat="1" x14ac:dyDescent="0.2">
      <c r="A24" s="24" t="s">
        <v>64</v>
      </c>
      <c r="D24" s="20"/>
    </row>
    <row r="25" spans="1:4" s="21" customFormat="1" ht="42.75" x14ac:dyDescent="0.2">
      <c r="A25" s="23" t="s">
        <v>65</v>
      </c>
      <c r="C25" s="21" t="s">
        <v>108</v>
      </c>
      <c r="D25" s="20" t="s">
        <v>115</v>
      </c>
    </row>
    <row r="26" spans="1:4" s="21" customFormat="1" x14ac:dyDescent="0.2">
      <c r="A26" s="24" t="s">
        <v>66</v>
      </c>
      <c r="D26" s="20"/>
    </row>
    <row r="27" spans="1:4" s="21" customFormat="1" x14ac:dyDescent="0.2">
      <c r="A27" s="24" t="s">
        <v>67</v>
      </c>
      <c r="D27" s="20"/>
    </row>
    <row r="28" spans="1:4" s="21" customFormat="1" x14ac:dyDescent="0.2">
      <c r="A28" s="23" t="s">
        <v>82</v>
      </c>
      <c r="C28" s="21" t="s">
        <v>107</v>
      </c>
      <c r="D28" s="20"/>
    </row>
    <row r="30" spans="1:4" x14ac:dyDescent="0.2">
      <c r="A30" t="s">
        <v>110</v>
      </c>
      <c r="B30" t="s">
        <v>158</v>
      </c>
    </row>
    <row r="31" spans="1:4" x14ac:dyDescent="0.2">
      <c r="A31" s="22" t="s">
        <v>45</v>
      </c>
      <c r="B31" t="s">
        <v>111</v>
      </c>
    </row>
    <row r="32" spans="1:4" x14ac:dyDescent="0.2">
      <c r="A32" s="22" t="s">
        <v>43</v>
      </c>
      <c r="B32" t="s">
        <v>112</v>
      </c>
    </row>
    <row r="33" spans="1:6" x14ac:dyDescent="0.2">
      <c r="A33" s="22" t="s">
        <v>60</v>
      </c>
      <c r="B33" t="s">
        <v>113</v>
      </c>
    </row>
    <row r="34" spans="1:6" x14ac:dyDescent="0.2">
      <c r="A34" s="22" t="s">
        <v>53</v>
      </c>
      <c r="B34" t="s">
        <v>118</v>
      </c>
    </row>
    <row r="35" spans="1:6" x14ac:dyDescent="0.2">
      <c r="A35" s="22"/>
    </row>
    <row r="39" spans="1:6" ht="15" thickBot="1" x14ac:dyDescent="0.25"/>
    <row r="40" spans="1:6" ht="43.5" thickTop="1" x14ac:dyDescent="0.2">
      <c r="A40" s="35" t="s">
        <v>137</v>
      </c>
      <c r="B40" s="36" t="s">
        <v>149</v>
      </c>
      <c r="C40" s="36" t="s">
        <v>150</v>
      </c>
      <c r="D40" s="36" t="s">
        <v>151</v>
      </c>
      <c r="E40" s="36" t="s">
        <v>152</v>
      </c>
      <c r="F40" s="37" t="s">
        <v>153</v>
      </c>
    </row>
    <row r="41" spans="1:6" ht="42.75" x14ac:dyDescent="0.2">
      <c r="A41" s="29" t="s">
        <v>138</v>
      </c>
      <c r="B41" s="30" t="s">
        <v>135</v>
      </c>
      <c r="C41" s="30" t="s">
        <v>136</v>
      </c>
      <c r="D41" s="30" t="s">
        <v>148</v>
      </c>
      <c r="E41" s="30" t="s">
        <v>135</v>
      </c>
      <c r="F41" s="31" t="s">
        <v>135</v>
      </c>
    </row>
    <row r="42" spans="1:6" ht="28.5" x14ac:dyDescent="0.2">
      <c r="A42" s="25" t="s">
        <v>139</v>
      </c>
      <c r="B42" s="26" t="s">
        <v>146</v>
      </c>
      <c r="C42" s="26" t="s">
        <v>146</v>
      </c>
      <c r="D42" s="26" t="s">
        <v>146</v>
      </c>
      <c r="E42" s="26" t="s">
        <v>146</v>
      </c>
      <c r="F42" s="27" t="s">
        <v>146</v>
      </c>
    </row>
    <row r="43" spans="1:6" ht="28.5" x14ac:dyDescent="0.2">
      <c r="A43" s="29" t="s">
        <v>141</v>
      </c>
      <c r="B43" s="30" t="s">
        <v>147</v>
      </c>
      <c r="C43" s="30" t="s">
        <v>147</v>
      </c>
      <c r="D43" s="30" t="s">
        <v>147</v>
      </c>
      <c r="E43" s="30" t="s">
        <v>147</v>
      </c>
      <c r="F43" s="31" t="s">
        <v>147</v>
      </c>
    </row>
    <row r="44" spans="1:6" x14ac:dyDescent="0.2">
      <c r="A44" s="25" t="s">
        <v>142</v>
      </c>
      <c r="B44" s="26" t="s">
        <v>140</v>
      </c>
      <c r="C44" s="26" t="s">
        <v>140</v>
      </c>
      <c r="D44" s="26" t="s">
        <v>140</v>
      </c>
      <c r="E44" s="26" t="s">
        <v>140</v>
      </c>
      <c r="F44" s="27" t="s">
        <v>140</v>
      </c>
    </row>
    <row r="45" spans="1:6" ht="85.5" x14ac:dyDescent="0.2">
      <c r="A45" s="29" t="s">
        <v>143</v>
      </c>
      <c r="B45" s="30" t="s">
        <v>198</v>
      </c>
      <c r="C45" s="30" t="s">
        <v>144</v>
      </c>
      <c r="D45" s="30" t="s">
        <v>166</v>
      </c>
      <c r="E45" s="30" t="s">
        <v>171</v>
      </c>
      <c r="F45" s="31" t="s">
        <v>172</v>
      </c>
    </row>
    <row r="46" spans="1:6" ht="28.5" x14ac:dyDescent="0.2">
      <c r="A46" s="28" t="s">
        <v>169</v>
      </c>
      <c r="B46" s="26" t="s">
        <v>167</v>
      </c>
      <c r="C46" s="26" t="s">
        <v>167</v>
      </c>
      <c r="D46" s="26" t="s">
        <v>167</v>
      </c>
      <c r="E46" s="26" t="s">
        <v>167</v>
      </c>
      <c r="F46" s="27" t="s">
        <v>167</v>
      </c>
    </row>
    <row r="47" spans="1:6" ht="29.25" thickBot="1" x14ac:dyDescent="0.25">
      <c r="A47" s="32" t="s">
        <v>170</v>
      </c>
      <c r="B47" s="33" t="s">
        <v>168</v>
      </c>
      <c r="C47" s="33" t="s">
        <v>168</v>
      </c>
      <c r="D47" s="33" t="s">
        <v>168</v>
      </c>
      <c r="E47" s="33" t="s">
        <v>168</v>
      </c>
      <c r="F47" s="34" t="s">
        <v>168</v>
      </c>
    </row>
    <row r="48" spans="1:6" ht="58.5" customHeight="1" thickTop="1" thickBot="1" x14ac:dyDescent="0.25">
      <c r="A48" s="156" t="s">
        <v>145</v>
      </c>
      <c r="B48" s="156"/>
      <c r="C48" s="156"/>
      <c r="D48" s="156"/>
      <c r="E48" s="156"/>
      <c r="F48" s="156"/>
    </row>
    <row r="49" spans="1:6" ht="15" thickTop="1" x14ac:dyDescent="0.2">
      <c r="A49" s="48" t="s">
        <v>154</v>
      </c>
      <c r="B49" s="49" t="s">
        <v>149</v>
      </c>
      <c r="C49" s="49" t="s">
        <v>150</v>
      </c>
      <c r="D49" s="49" t="s">
        <v>151</v>
      </c>
      <c r="E49" s="49" t="s">
        <v>152</v>
      </c>
      <c r="F49" s="50" t="s">
        <v>153</v>
      </c>
    </row>
    <row r="50" spans="1:6" ht="28.5" x14ac:dyDescent="0.2">
      <c r="A50" s="42" t="s">
        <v>138</v>
      </c>
      <c r="B50" s="43" t="s">
        <v>135</v>
      </c>
      <c r="C50" s="43" t="s">
        <v>156</v>
      </c>
      <c r="D50" s="43" t="s">
        <v>155</v>
      </c>
      <c r="E50" s="43" t="s">
        <v>135</v>
      </c>
      <c r="F50" s="44" t="s">
        <v>135</v>
      </c>
    </row>
    <row r="51" spans="1:6" x14ac:dyDescent="0.2">
      <c r="A51" s="38" t="s">
        <v>139</v>
      </c>
      <c r="B51" s="39" t="s">
        <v>157</v>
      </c>
      <c r="C51" s="39" t="s">
        <v>157</v>
      </c>
      <c r="D51" s="39" t="s">
        <v>157</v>
      </c>
      <c r="E51" s="39" t="s">
        <v>157</v>
      </c>
      <c r="F51" s="40" t="s">
        <v>157</v>
      </c>
    </row>
    <row r="52" spans="1:6" x14ac:dyDescent="0.2">
      <c r="A52" s="42" t="s">
        <v>141</v>
      </c>
      <c r="B52" s="43" t="s">
        <v>157</v>
      </c>
      <c r="C52" s="43" t="s">
        <v>157</v>
      </c>
      <c r="D52" s="43" t="s">
        <v>157</v>
      </c>
      <c r="E52" s="43" t="s">
        <v>157</v>
      </c>
      <c r="F52" s="44" t="s">
        <v>157</v>
      </c>
    </row>
    <row r="53" spans="1:6" ht="57" x14ac:dyDescent="0.2">
      <c r="A53" s="38" t="s">
        <v>142</v>
      </c>
      <c r="B53" s="39" t="s">
        <v>174</v>
      </c>
      <c r="C53" s="39" t="s">
        <v>174</v>
      </c>
      <c r="D53" s="39" t="s">
        <v>174</v>
      </c>
      <c r="E53" s="39" t="s">
        <v>174</v>
      </c>
      <c r="F53" s="39" t="s">
        <v>174</v>
      </c>
    </row>
    <row r="54" spans="1:6" ht="85.5" x14ac:dyDescent="0.2">
      <c r="A54" s="42" t="s">
        <v>143</v>
      </c>
      <c r="B54" s="43" t="s">
        <v>199</v>
      </c>
      <c r="C54" s="43" t="s">
        <v>175</v>
      </c>
      <c r="D54" s="43" t="s">
        <v>176</v>
      </c>
      <c r="E54" s="43" t="s">
        <v>164</v>
      </c>
      <c r="F54" s="44" t="s">
        <v>165</v>
      </c>
    </row>
    <row r="55" spans="1:6" x14ac:dyDescent="0.2">
      <c r="A55" s="41" t="s">
        <v>169</v>
      </c>
      <c r="B55" s="39" t="s">
        <v>157</v>
      </c>
      <c r="C55" s="39" t="s">
        <v>157</v>
      </c>
      <c r="D55" s="39" t="s">
        <v>157</v>
      </c>
      <c r="E55" s="39" t="s">
        <v>157</v>
      </c>
      <c r="F55" s="40" t="s">
        <v>157</v>
      </c>
    </row>
    <row r="56" spans="1:6" ht="15" thickBot="1" x14ac:dyDescent="0.25">
      <c r="A56" s="45" t="s">
        <v>170</v>
      </c>
      <c r="B56" s="46" t="s">
        <v>157</v>
      </c>
      <c r="C56" s="46" t="s">
        <v>157</v>
      </c>
      <c r="D56" s="46" t="s">
        <v>157</v>
      </c>
      <c r="E56" s="46" t="s">
        <v>157</v>
      </c>
      <c r="F56" s="47" t="s">
        <v>157</v>
      </c>
    </row>
    <row r="57" spans="1:6" ht="15" thickTop="1" x14ac:dyDescent="0.2">
      <c r="A57" s="51"/>
      <c r="B57" s="51"/>
      <c r="C57" s="51"/>
    </row>
    <row r="58" spans="1:6" ht="32.25" customHeight="1" x14ac:dyDescent="0.2">
      <c r="A58" s="52" t="s">
        <v>177</v>
      </c>
      <c r="B58" s="157" t="s">
        <v>178</v>
      </c>
      <c r="C58" s="157"/>
    </row>
    <row r="59" spans="1:6" ht="17.25" customHeight="1" x14ac:dyDescent="0.2">
      <c r="A59" s="52" t="s">
        <v>179</v>
      </c>
      <c r="B59" s="158" t="s">
        <v>184</v>
      </c>
      <c r="C59" s="158"/>
      <c r="D59" s="158" t="s">
        <v>189</v>
      </c>
      <c r="E59" s="161"/>
    </row>
    <row r="60" spans="1:6" ht="13.5" customHeight="1" x14ac:dyDescent="0.2">
      <c r="A60" s="52" t="s">
        <v>180</v>
      </c>
      <c r="B60" s="159" t="s">
        <v>185</v>
      </c>
      <c r="C60" s="159"/>
      <c r="D60" s="162" t="s">
        <v>190</v>
      </c>
      <c r="E60" s="162"/>
    </row>
    <row r="61" spans="1:6" x14ac:dyDescent="0.2">
      <c r="A61" s="52" t="s">
        <v>181</v>
      </c>
      <c r="B61" s="158" t="s">
        <v>186</v>
      </c>
      <c r="C61" s="158"/>
      <c r="D61" s="162" t="s">
        <v>191</v>
      </c>
      <c r="E61" s="162"/>
    </row>
    <row r="62" spans="1:6" x14ac:dyDescent="0.2">
      <c r="A62" s="52" t="s">
        <v>182</v>
      </c>
      <c r="B62" s="160" t="s">
        <v>187</v>
      </c>
      <c r="C62" s="155"/>
      <c r="D62" s="160" t="s">
        <v>187</v>
      </c>
      <c r="E62" s="155"/>
    </row>
    <row r="63" spans="1:6" x14ac:dyDescent="0.2">
      <c r="A63" s="52" t="s">
        <v>183</v>
      </c>
      <c r="B63" s="160" t="s">
        <v>188</v>
      </c>
      <c r="C63" s="155"/>
      <c r="D63" s="160" t="s">
        <v>188</v>
      </c>
      <c r="E63" s="155"/>
    </row>
    <row r="67" spans="1:2" x14ac:dyDescent="0.2">
      <c r="A67" s="161" t="s">
        <v>192</v>
      </c>
      <c r="B67" s="161"/>
    </row>
    <row r="68" spans="1:2" x14ac:dyDescent="0.2">
      <c r="A68" s="163" t="s">
        <v>195</v>
      </c>
      <c r="B68" s="163"/>
    </row>
    <row r="69" spans="1:2" x14ac:dyDescent="0.2">
      <c r="A69" s="164" t="s">
        <v>193</v>
      </c>
      <c r="B69" s="164"/>
    </row>
    <row r="70" spans="1:2" x14ac:dyDescent="0.2">
      <c r="A70" s="155" t="s">
        <v>194</v>
      </c>
      <c r="B70" s="155"/>
    </row>
  </sheetData>
  <mergeCells count="16">
    <mergeCell ref="A70:B70"/>
    <mergeCell ref="A48:F48"/>
    <mergeCell ref="B58:C58"/>
    <mergeCell ref="B59:C59"/>
    <mergeCell ref="B60:C60"/>
    <mergeCell ref="B63:C63"/>
    <mergeCell ref="D59:E59"/>
    <mergeCell ref="D60:E60"/>
    <mergeCell ref="D61:E61"/>
    <mergeCell ref="D62:E62"/>
    <mergeCell ref="D63:E63"/>
    <mergeCell ref="B61:C61"/>
    <mergeCell ref="B62:C62"/>
    <mergeCell ref="A67:B67"/>
    <mergeCell ref="A68:B68"/>
    <mergeCell ref="A69:B69"/>
  </mergeCells>
  <phoneticPr fontId="3" type="noConversion"/>
  <pageMargins left="0.7" right="0.7" top="0.75" bottom="0.75" header="0.3" footer="0.3"/>
  <pageSetup paperSize="8" fitToHeight="0" orientation="landscape" r:id="rId1"/>
  <rowBreaks count="1" manualBreakCount="1">
    <brk id="38" max="16383" man="1"/>
  </rowBreaks>
  <legacyDrawing r:id="rId2"/>
  <tableParts count="4">
    <tablePart r:id="rId3"/>
    <tablePart r:id="rId4"/>
    <tablePart r:id="rId5"/>
    <tablePart r:id="rId6"/>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216D2288-DAFB-4E5D-B7AD-F5DB9AB281C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56</vt:i4>
      </vt:variant>
    </vt:vector>
  </HeadingPairs>
  <TitlesOfParts>
    <vt:vector size="63" baseType="lpstr">
      <vt:lpstr>Leds</vt:lpstr>
      <vt:lpstr>Head</vt:lpstr>
      <vt:lpstr>Servo</vt:lpstr>
      <vt:lpstr>MQTT communication</vt:lpstr>
      <vt:lpstr>Font1</vt:lpstr>
      <vt:lpstr>Font2</vt:lpstr>
      <vt:lpstr>commands</vt:lpstr>
      <vt:lpstr>ActivateSleep</vt:lpstr>
      <vt:lpstr>autoHEAD</vt:lpstr>
      <vt:lpstr>autoRING</vt:lpstr>
      <vt:lpstr>Servo!Blinktime</vt:lpstr>
      <vt:lpstr>BlinkTiming</vt:lpstr>
      <vt:lpstr>cb2Fill</vt:lpstr>
      <vt:lpstr>cb2Rotate</vt:lpstr>
      <vt:lpstr>CharDOWN</vt:lpstr>
      <vt:lpstr>CharLR</vt:lpstr>
      <vt:lpstr>CharOK</vt:lpstr>
      <vt:lpstr>CharRL</vt:lpstr>
      <vt:lpstr>CharSTATIC</vt:lpstr>
      <vt:lpstr>CharUP</vt:lpstr>
      <vt:lpstr>'MQTT communication'!comport</vt:lpstr>
      <vt:lpstr>HeadPattern</vt:lpstr>
      <vt:lpstr>Intensity</vt:lpstr>
      <vt:lpstr>InvertedRange</vt:lpstr>
      <vt:lpstr>LedPattern</vt:lpstr>
      <vt:lpstr>Leye</vt:lpstr>
      <vt:lpstr>LeyeCol</vt:lpstr>
      <vt:lpstr>LeyePat</vt:lpstr>
      <vt:lpstr>LHresRange</vt:lpstr>
      <vt:lpstr>MovementRange</vt:lpstr>
      <vt:lpstr>MQTThost</vt:lpstr>
      <vt:lpstr>MQTTpass</vt:lpstr>
      <vt:lpstr>MQTTport</vt:lpstr>
      <vt:lpstr>MQTTtopic</vt:lpstr>
      <vt:lpstr>MQTTuser</vt:lpstr>
      <vt:lpstr>Nose</vt:lpstr>
      <vt:lpstr>NoseCol</vt:lpstr>
      <vt:lpstr>NosePat</vt:lpstr>
      <vt:lpstr>PinballInvert</vt:lpstr>
      <vt:lpstr>PinballLHres</vt:lpstr>
      <vt:lpstr>PinballMovement</vt:lpstr>
      <vt:lpstr>PinballShape</vt:lpstr>
      <vt:lpstr>PutChar</vt:lpstr>
      <vt:lpstr>Reye</vt:lpstr>
      <vt:lpstr>ReyeCol</vt:lpstr>
      <vt:lpstr>ReyePat</vt:lpstr>
      <vt:lpstr>RingPattern</vt:lpstr>
      <vt:lpstr>Ringtime</vt:lpstr>
      <vt:lpstr>RPM</vt:lpstr>
      <vt:lpstr>SelectBlinkStrobe</vt:lpstr>
      <vt:lpstr>SelectColors</vt:lpstr>
      <vt:lpstr>SelectPattern</vt:lpstr>
      <vt:lpstr>ServoInverted</vt:lpstr>
      <vt:lpstr>ServoLowres</vt:lpstr>
      <vt:lpstr>ServoMovement</vt:lpstr>
      <vt:lpstr>ServoShape</vt:lpstr>
      <vt:lpstr>ShapeRange</vt:lpstr>
      <vt:lpstr>TextDOWN</vt:lpstr>
      <vt:lpstr>TEXTLR</vt:lpstr>
      <vt:lpstr>TextRL</vt:lpstr>
      <vt:lpstr>TextSTATIC</vt:lpstr>
      <vt:lpstr>TextUP</vt:lpstr>
      <vt:lpstr>What</vt:lpstr>
    </vt:vector>
  </TitlesOfParts>
  <Company>SKYGUIDE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Rademaker Ruud</dc:creator>
  <cp:lastModifiedBy>ruud rademaker</cp:lastModifiedBy>
  <cp:lastPrinted>2016-11-02T16:36:15Z</cp:lastPrinted>
  <dcterms:created xsi:type="dcterms:W3CDTF">2015-09-04T14:22:28Z</dcterms:created>
  <dcterms:modified xsi:type="dcterms:W3CDTF">2022-07-07T18:02:09Z</dcterms:modified>
</cp:coreProperties>
</file>